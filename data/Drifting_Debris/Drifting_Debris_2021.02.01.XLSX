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5" yWindow="-105" windowWidth="23250" windowHeight="12570" activeTab="1"/>
  </bookViews>
  <sheets>
    <sheet name="Drifting Trash_Info" sheetId="3" r:id="rId1"/>
    <sheet name="Drifting Debris_Count" sheetId="6" r:id="rId2"/>
  </sheets>
  <definedNames>
    <definedName name="_xlnm._FilterDatabase" localSheetId="1" hidden="1">'Drifting Debris_Count'!$A$2:$G$241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6" i="3" l="1"/>
  <c r="Y17" i="3" l="1"/>
  <c r="X17" i="3"/>
  <c r="T17" i="3"/>
  <c r="U17" i="3"/>
  <c r="F16" i="6" l="1"/>
  <c r="P55" i="3" l="1"/>
  <c r="P54" i="3"/>
  <c r="M53" i="3"/>
  <c r="L53" i="3"/>
  <c r="P52" i="3"/>
  <c r="M52" i="3"/>
  <c r="L52" i="3"/>
  <c r="M50" i="3"/>
  <c r="L50" i="3"/>
  <c r="M49" i="3"/>
  <c r="L48" i="3"/>
  <c r="P47" i="3"/>
  <c r="L47" i="3"/>
  <c r="P46" i="3"/>
  <c r="M46" i="3"/>
  <c r="L46" i="3"/>
  <c r="P45" i="3"/>
  <c r="L45" i="3"/>
  <c r="F215" i="6" l="1"/>
  <c r="Q55" i="3"/>
  <c r="M55" i="3"/>
  <c r="L55" i="3"/>
  <c r="Q54" i="3"/>
  <c r="M54" i="3"/>
  <c r="L54" i="3"/>
  <c r="Q53" i="3"/>
  <c r="P53" i="3"/>
  <c r="Q52" i="3"/>
  <c r="Q51" i="3"/>
  <c r="P51" i="3"/>
  <c r="M51" i="3"/>
  <c r="L51" i="3"/>
  <c r="Q37" i="3" l="1"/>
  <c r="P37" i="3"/>
  <c r="M37" i="3"/>
  <c r="L37" i="3"/>
  <c r="Q36" i="3"/>
  <c r="P36" i="3"/>
  <c r="M36" i="3"/>
  <c r="L36" i="3"/>
  <c r="Q35" i="3"/>
  <c r="P35" i="3"/>
  <c r="M35" i="3"/>
  <c r="L35" i="3"/>
  <c r="Q34" i="3"/>
  <c r="P34" i="3"/>
  <c r="M34" i="3"/>
  <c r="L34" i="3"/>
  <c r="Q33" i="3"/>
  <c r="P33" i="3"/>
  <c r="M33" i="3"/>
  <c r="L33" i="3"/>
  <c r="Q32" i="3"/>
  <c r="P32" i="3"/>
  <c r="M32" i="3"/>
  <c r="L32" i="3"/>
  <c r="Q31" i="3"/>
  <c r="P31" i="3"/>
  <c r="M31" i="3"/>
  <c r="L31" i="3"/>
  <c r="Q30" i="3"/>
  <c r="P30" i="3"/>
  <c r="M30" i="3"/>
  <c r="L30" i="3"/>
  <c r="Q29" i="3"/>
  <c r="P29" i="3"/>
  <c r="M29" i="3"/>
  <c r="L29" i="3"/>
  <c r="Q28" i="3"/>
  <c r="P28" i="3"/>
  <c r="M28" i="3"/>
  <c r="L28" i="3"/>
  <c r="Q27" i="3"/>
  <c r="P27" i="3"/>
  <c r="M27" i="3"/>
  <c r="L27" i="3"/>
  <c r="Q26" i="3"/>
  <c r="P26" i="3"/>
  <c r="M26" i="3"/>
  <c r="L26" i="3"/>
  <c r="Q25" i="3"/>
  <c r="P25" i="3"/>
  <c r="M25" i="3"/>
  <c r="L25" i="3"/>
  <c r="U24" i="3"/>
  <c r="T24" i="3"/>
  <c r="Q24" i="3"/>
  <c r="P24" i="3"/>
  <c r="M24" i="3"/>
  <c r="L24" i="3"/>
  <c r="Q23" i="3"/>
  <c r="P23" i="3"/>
  <c r="U23" i="3"/>
  <c r="T23" i="3"/>
  <c r="M23" i="3"/>
  <c r="L23" i="3"/>
  <c r="Q22" i="3"/>
  <c r="P22" i="3"/>
  <c r="M22" i="3"/>
  <c r="L22" i="3"/>
  <c r="Q21" i="3"/>
  <c r="P21" i="3"/>
  <c r="M21" i="3"/>
  <c r="L21" i="3"/>
  <c r="Q20" i="3"/>
  <c r="P20" i="3"/>
  <c r="M20" i="3"/>
  <c r="L20" i="3"/>
  <c r="Q19" i="3"/>
  <c r="P19" i="3"/>
  <c r="M19" i="3"/>
  <c r="L19" i="3"/>
  <c r="Q18" i="3"/>
  <c r="P18" i="3"/>
  <c r="M18" i="3"/>
  <c r="L18" i="3"/>
  <c r="Q17" i="3"/>
  <c r="P17" i="3"/>
  <c r="M17" i="3"/>
  <c r="L17" i="3"/>
  <c r="Q16" i="3"/>
  <c r="P16" i="3"/>
  <c r="M16" i="3"/>
  <c r="L16" i="3"/>
  <c r="Q15" i="3"/>
  <c r="P15" i="3"/>
  <c r="L15" i="3"/>
  <c r="M15" i="3"/>
  <c r="Q14" i="3"/>
  <c r="P14" i="3"/>
  <c r="M14" i="3"/>
  <c r="L14" i="3"/>
  <c r="Q13" i="3"/>
  <c r="P13" i="3"/>
  <c r="M13" i="3"/>
  <c r="L13" i="3"/>
  <c r="Q12" i="3"/>
  <c r="P12" i="3"/>
  <c r="M12" i="3"/>
  <c r="L12" i="3"/>
  <c r="Q11" i="3"/>
  <c r="P11" i="3"/>
  <c r="M11" i="3"/>
  <c r="L11" i="3"/>
  <c r="Q10" i="3"/>
  <c r="P10" i="3"/>
  <c r="M10" i="3"/>
  <c r="L10" i="3"/>
  <c r="Q9" i="3"/>
  <c r="P9" i="3"/>
  <c r="M9" i="3"/>
  <c r="L9" i="3"/>
  <c r="Q8" i="3"/>
  <c r="P8" i="3"/>
  <c r="M8" i="3"/>
  <c r="L8" i="3"/>
  <c r="Q7" i="3"/>
  <c r="P7" i="3"/>
  <c r="M7" i="3"/>
  <c r="L7" i="3"/>
  <c r="Q6" i="3"/>
  <c r="P6" i="3"/>
  <c r="M6" i="3"/>
  <c r="L6" i="3"/>
  <c r="Q5" i="3"/>
  <c r="M5" i="3"/>
  <c r="P5" i="3"/>
  <c r="P4" i="3"/>
  <c r="L5" i="3"/>
  <c r="Q4" i="3"/>
  <c r="M4" i="3"/>
  <c r="L4" i="3"/>
  <c r="Q3" i="3"/>
  <c r="M3" i="3"/>
  <c r="P3" i="3"/>
  <c r="L3" i="3"/>
  <c r="Q2" i="3"/>
  <c r="M2" i="3"/>
  <c r="P2" i="3"/>
  <c r="L2" i="3"/>
  <c r="Q50" i="3"/>
  <c r="P50" i="3"/>
  <c r="Q49" i="3"/>
  <c r="Q48" i="3"/>
  <c r="P48" i="3"/>
  <c r="M48" i="3"/>
  <c r="Q47" i="3"/>
  <c r="M47" i="3"/>
  <c r="Q46" i="3"/>
  <c r="Q45" i="3" l="1"/>
  <c r="M45" i="3"/>
  <c r="F183" i="6" l="1"/>
  <c r="Q44" i="3"/>
  <c r="P44" i="3"/>
  <c r="M44" i="3"/>
  <c r="L44" i="3"/>
  <c r="Q43" i="3"/>
  <c r="P43" i="3"/>
  <c r="M43" i="3"/>
  <c r="L43" i="3"/>
  <c r="Q42" i="3"/>
  <c r="P42" i="3"/>
  <c r="U42" i="3"/>
  <c r="T42" i="3"/>
  <c r="M42" i="3"/>
  <c r="L42" i="3"/>
  <c r="U41" i="3" l="1"/>
  <c r="T41" i="3"/>
  <c r="Q41" i="3"/>
  <c r="P41" i="3"/>
  <c r="M41" i="3"/>
  <c r="L41" i="3"/>
  <c r="Q40" i="3"/>
  <c r="P40" i="3"/>
  <c r="M40" i="3"/>
  <c r="L40" i="3"/>
  <c r="U39" i="3"/>
  <c r="T39" i="3"/>
  <c r="Q39" i="3"/>
  <c r="P39" i="3"/>
  <c r="M39" i="3"/>
  <c r="L39" i="3"/>
  <c r="Q38" i="3"/>
  <c r="P38" i="3"/>
  <c r="M38" i="3"/>
  <c r="L38" i="3"/>
</calcChain>
</file>

<file path=xl/sharedStrings.xml><?xml version="1.0" encoding="utf-8"?>
<sst xmlns="http://schemas.openxmlformats.org/spreadsheetml/2006/main" count="1265" uniqueCount="366">
  <si>
    <t>Date</t>
    <phoneticPr fontId="3" type="noConversion"/>
  </si>
  <si>
    <t>Type</t>
    <phoneticPr fontId="3" type="noConversion"/>
  </si>
  <si>
    <t>Sample</t>
    <phoneticPr fontId="3" type="noConversion"/>
  </si>
  <si>
    <t>Note</t>
    <phoneticPr fontId="3" type="noConversion"/>
  </si>
  <si>
    <t>Vessel Speed</t>
    <phoneticPr fontId="3" type="noConversion"/>
  </si>
  <si>
    <t>Cruise</t>
    <phoneticPr fontId="3" type="noConversion"/>
  </si>
  <si>
    <t xml:space="preserve">Observer </t>
    <phoneticPr fontId="3" type="noConversion"/>
  </si>
  <si>
    <t>Count</t>
    <phoneticPr fontId="3" type="noConversion"/>
  </si>
  <si>
    <t>Route ID</t>
    <phoneticPr fontId="3" type="noConversion"/>
  </si>
  <si>
    <t>NOR1_T004</t>
    <phoneticPr fontId="3" type="noConversion"/>
  </si>
  <si>
    <t>S</t>
    <phoneticPr fontId="3" type="noConversion"/>
  </si>
  <si>
    <t>風大，微白浪</t>
    <phoneticPr fontId="3" type="noConversion"/>
  </si>
  <si>
    <t>Weather</t>
    <phoneticPr fontId="3" type="noConversion"/>
  </si>
  <si>
    <t>Cloud cover</t>
    <phoneticPr fontId="3" type="noConversion"/>
  </si>
  <si>
    <t>Start_Time</t>
    <phoneticPr fontId="3" type="noConversion"/>
  </si>
  <si>
    <t>Start_Heading</t>
    <phoneticPr fontId="3" type="noConversion"/>
  </si>
  <si>
    <t>Start_Long</t>
    <phoneticPr fontId="3" type="noConversion"/>
  </si>
  <si>
    <t>Start_Lat</t>
    <phoneticPr fontId="3" type="noConversion"/>
  </si>
  <si>
    <t>End_Time</t>
    <phoneticPr fontId="3" type="noConversion"/>
  </si>
  <si>
    <t>End_Heading</t>
    <phoneticPr fontId="3" type="noConversion"/>
  </si>
  <si>
    <t>End_Long</t>
    <phoneticPr fontId="3" type="noConversion"/>
  </si>
  <si>
    <t>End_Lat</t>
    <phoneticPr fontId="3" type="noConversion"/>
  </si>
  <si>
    <t>Position</t>
    <phoneticPr fontId="3" type="noConversion"/>
  </si>
  <si>
    <t>P</t>
    <phoneticPr fontId="3" type="noConversion"/>
  </si>
  <si>
    <t>風平浪靜，面對陽光</t>
    <phoneticPr fontId="3" type="noConversion"/>
  </si>
  <si>
    <t>靠近小琉球，漁船多，在8:44後船速改為6節</t>
    <phoneticPr fontId="3" type="noConversion"/>
  </si>
  <si>
    <t>陳葆仁</t>
    <phoneticPr fontId="3" type="noConversion"/>
  </si>
  <si>
    <t>下雨</t>
    <phoneticPr fontId="3" type="noConversion"/>
  </si>
  <si>
    <t>晴時多雲，微風，微白浪</t>
    <phoneticPr fontId="3" type="noConversion"/>
  </si>
  <si>
    <t>change1後的5分鐘改成351度</t>
    <phoneticPr fontId="3" type="noConversion"/>
  </si>
  <si>
    <t>Plastics</t>
    <phoneticPr fontId="3" type="noConversion"/>
  </si>
  <si>
    <t>Bags</t>
    <phoneticPr fontId="3" type="noConversion"/>
  </si>
  <si>
    <t>Bottles</t>
    <phoneticPr fontId="3" type="noConversion"/>
  </si>
  <si>
    <t>海藻</t>
    <phoneticPr fontId="3" type="noConversion"/>
  </si>
  <si>
    <t>Plastic Fragment</t>
    <phoneticPr fontId="3" type="noConversion"/>
  </si>
  <si>
    <t>小小的白色</t>
    <phoneticPr fontId="3" type="noConversion"/>
  </si>
  <si>
    <t>Fishing</t>
    <phoneticPr fontId="3" type="noConversion"/>
  </si>
  <si>
    <t>Misc.Line</t>
    <phoneticPr fontId="3" type="noConversion"/>
  </si>
  <si>
    <t>Wildlife</t>
    <phoneticPr fontId="3" type="noConversion"/>
  </si>
  <si>
    <t>Fish</t>
    <phoneticPr fontId="3" type="noConversion"/>
  </si>
  <si>
    <t>一群飛魚</t>
    <phoneticPr fontId="3" type="noConversion"/>
  </si>
  <si>
    <t>NOR1_002B</t>
    <phoneticPr fontId="3" type="noConversion"/>
  </si>
  <si>
    <t>廖音瑄</t>
    <phoneticPr fontId="3" type="noConversion"/>
  </si>
  <si>
    <t>無雲</t>
    <phoneticPr fontId="3" type="noConversion"/>
  </si>
  <si>
    <t>F</t>
    <phoneticPr fontId="3" type="noConversion"/>
  </si>
  <si>
    <t>黃靖雲</t>
    <phoneticPr fontId="3" type="noConversion"/>
  </si>
  <si>
    <t>不知為何接下來的這個小時垃圾很少，上個小時在另一側垃圾明明很多</t>
    <phoneticPr fontId="3" type="noConversion"/>
  </si>
  <si>
    <t>晴朗，有點浪，面向太陽</t>
    <phoneticPr fontId="3" type="noConversion"/>
  </si>
  <si>
    <t>Buoys</t>
    <phoneticPr fontId="3" type="noConversion"/>
  </si>
  <si>
    <t>有部分漁民浮球</t>
    <phoneticPr fontId="3" type="noConversion"/>
  </si>
  <si>
    <t>Others</t>
    <phoneticPr fontId="3" type="noConversion"/>
  </si>
  <si>
    <t>黃色包裝繫帶</t>
    <phoneticPr fontId="3" type="noConversion"/>
  </si>
  <si>
    <t>Seabirds</t>
    <phoneticPr fontId="3" type="noConversion"/>
  </si>
  <si>
    <t>Jugs</t>
    <phoneticPr fontId="3" type="noConversion"/>
  </si>
  <si>
    <t>Styrofoam</t>
    <phoneticPr fontId="3" type="noConversion"/>
  </si>
  <si>
    <t>小思考：海面只能觀察到可見物；底拖則可觀察到纖維等級。目擊次數無關大小</t>
    <phoneticPr fontId="3" type="noConversion"/>
  </si>
  <si>
    <t>劉晴芳</t>
    <phoneticPr fontId="3" type="noConversion"/>
  </si>
  <si>
    <t>晴時多雲，中浪</t>
    <phoneticPr fontId="3" type="noConversion"/>
  </si>
  <si>
    <t>疑似保麗龍的東西比較多</t>
    <phoneticPr fontId="3" type="noConversion"/>
  </si>
  <si>
    <t>NOR1_002C</t>
    <phoneticPr fontId="3" type="noConversion"/>
  </si>
  <si>
    <t>23節風速，浪高3.3米</t>
    <phoneticPr fontId="3" type="noConversion"/>
  </si>
  <si>
    <t>有一石頭狀物體，暫歸瓶子</t>
    <phoneticPr fontId="3" type="noConversion"/>
  </si>
  <si>
    <t>很輕，黃白色</t>
    <phoneticPr fontId="3" type="noConversion"/>
  </si>
  <si>
    <t>陳子謙</t>
    <phoneticPr fontId="3" type="noConversion"/>
  </si>
  <si>
    <t>多雲</t>
    <phoneticPr fontId="3" type="noConversion"/>
  </si>
  <si>
    <t>黃文君</t>
    <phoneticPr fontId="3" type="noConversion"/>
  </si>
  <si>
    <t>溫暖晴朗</t>
    <phoneticPr fontId="3" type="noConversion"/>
  </si>
  <si>
    <t>晴朗，最後下雨</t>
    <phoneticPr fontId="3" type="noConversion"/>
  </si>
  <si>
    <t>多雲微雨</t>
    <phoneticPr fontId="3" type="noConversion"/>
  </si>
  <si>
    <t>OR1_1235</t>
  </si>
  <si>
    <t>OR1_1235</t>
    <phoneticPr fontId="3" type="noConversion"/>
  </si>
  <si>
    <t>梁卓景</t>
    <phoneticPr fontId="3" type="noConversion"/>
  </si>
  <si>
    <t>湯淨</t>
    <phoneticPr fontId="3" type="noConversion"/>
  </si>
  <si>
    <t>兩側皆有看</t>
    <phoneticPr fontId="3" type="noConversion"/>
  </si>
  <si>
    <t>魏志潾</t>
    <phoneticPr fontId="3" type="noConversion"/>
  </si>
  <si>
    <t>King</t>
    <phoneticPr fontId="3" type="noConversion"/>
  </si>
  <si>
    <t>Sean</t>
    <phoneticPr fontId="3" type="noConversion"/>
  </si>
  <si>
    <t>Jin</t>
    <phoneticPr fontId="3" type="noConversion"/>
  </si>
  <si>
    <t>Joyce</t>
    <phoneticPr fontId="3" type="noConversion"/>
  </si>
  <si>
    <t>Vivian</t>
    <phoneticPr fontId="3" type="noConversion"/>
  </si>
  <si>
    <t>James</t>
    <phoneticPr fontId="3" type="noConversion"/>
  </si>
  <si>
    <t>Tu</t>
    <phoneticPr fontId="3" type="noConversion"/>
  </si>
  <si>
    <t>OR1_1244</t>
  </si>
  <si>
    <t>OR1_1244</t>
    <phoneticPr fontId="3" type="noConversion"/>
  </si>
  <si>
    <t>Vivian</t>
  </si>
  <si>
    <t>Wood</t>
    <phoneticPr fontId="3" type="noConversion"/>
  </si>
  <si>
    <t>NOR1_002C</t>
  </si>
  <si>
    <t>太陽反光，導致有些疑似水花的東西會反光，使人誤判</t>
    <phoneticPr fontId="3" type="noConversion"/>
  </si>
  <si>
    <t>張素菁</t>
    <phoneticPr fontId="3" type="noConversion"/>
  </si>
  <si>
    <t>溫暖晴朗，10節風速</t>
    <phoneticPr fontId="3" type="noConversion"/>
  </si>
  <si>
    <t>前30分鐘看P，後看S</t>
    <phoneticPr fontId="3" type="noConversion"/>
  </si>
  <si>
    <t>MD1-1</t>
    <phoneticPr fontId="3" type="noConversion"/>
  </si>
  <si>
    <t>MD1-2</t>
    <phoneticPr fontId="3" type="noConversion"/>
  </si>
  <si>
    <t>MD2-1</t>
    <phoneticPr fontId="3" type="noConversion"/>
  </si>
  <si>
    <t>MD2-2</t>
    <phoneticPr fontId="3" type="noConversion"/>
  </si>
  <si>
    <t>MD3-1</t>
    <phoneticPr fontId="3" type="noConversion"/>
  </si>
  <si>
    <t>MD3-2</t>
    <phoneticPr fontId="3" type="noConversion"/>
  </si>
  <si>
    <t>MD4-1</t>
    <phoneticPr fontId="3" type="noConversion"/>
  </si>
  <si>
    <t>MD4-2</t>
    <phoneticPr fontId="3" type="noConversion"/>
  </si>
  <si>
    <t>MD5</t>
    <phoneticPr fontId="3" type="noConversion"/>
  </si>
  <si>
    <t>MD6-2</t>
    <phoneticPr fontId="3" type="noConversion"/>
  </si>
  <si>
    <t>MD6-1</t>
    <phoneticPr fontId="3" type="noConversion"/>
  </si>
  <si>
    <t>MD7-1</t>
    <phoneticPr fontId="3" type="noConversion"/>
  </si>
  <si>
    <t>MD7-2</t>
    <phoneticPr fontId="3" type="noConversion"/>
  </si>
  <si>
    <t>MD8-1</t>
    <phoneticPr fontId="3" type="noConversion"/>
  </si>
  <si>
    <t>MD8-2</t>
    <phoneticPr fontId="3" type="noConversion"/>
  </si>
  <si>
    <t>MD9-1</t>
    <phoneticPr fontId="3" type="noConversion"/>
  </si>
  <si>
    <t>MD9-2</t>
    <phoneticPr fontId="3" type="noConversion"/>
  </si>
  <si>
    <t>MD10-1</t>
    <phoneticPr fontId="3" type="noConversion"/>
  </si>
  <si>
    <t>MD10-2</t>
    <phoneticPr fontId="3" type="noConversion"/>
  </si>
  <si>
    <t>MD11</t>
    <phoneticPr fontId="3" type="noConversion"/>
  </si>
  <si>
    <t>MD12</t>
    <phoneticPr fontId="3" type="noConversion"/>
  </si>
  <si>
    <t>MD13-1</t>
    <phoneticPr fontId="3" type="noConversion"/>
  </si>
  <si>
    <t>MD13-2</t>
    <phoneticPr fontId="3" type="noConversion"/>
  </si>
  <si>
    <t>MD14-1</t>
    <phoneticPr fontId="3" type="noConversion"/>
  </si>
  <si>
    <t>MD14-2</t>
    <phoneticPr fontId="3" type="noConversion"/>
  </si>
  <si>
    <t>MD15-1</t>
    <phoneticPr fontId="3" type="noConversion"/>
  </si>
  <si>
    <t>MD15-2</t>
    <phoneticPr fontId="3" type="noConversion"/>
  </si>
  <si>
    <t>MD16-1</t>
    <phoneticPr fontId="3" type="noConversion"/>
  </si>
  <si>
    <t>MD16-2</t>
    <phoneticPr fontId="3" type="noConversion"/>
  </si>
  <si>
    <t>MD17-1</t>
    <phoneticPr fontId="3" type="noConversion"/>
  </si>
  <si>
    <t>MD17-2</t>
    <phoneticPr fontId="3" type="noConversion"/>
  </si>
  <si>
    <t>MD18</t>
    <phoneticPr fontId="3" type="noConversion"/>
  </si>
  <si>
    <t>MD19-1</t>
    <phoneticPr fontId="3" type="noConversion"/>
  </si>
  <si>
    <t>MD19-2</t>
    <phoneticPr fontId="3" type="noConversion"/>
  </si>
  <si>
    <t>MD20-1</t>
    <phoneticPr fontId="3" type="noConversion"/>
  </si>
  <si>
    <t>MD20-2</t>
    <phoneticPr fontId="3" type="noConversion"/>
  </si>
  <si>
    <t>MD21</t>
    <phoneticPr fontId="3" type="noConversion"/>
  </si>
  <si>
    <t>MD22</t>
    <phoneticPr fontId="3" type="noConversion"/>
  </si>
  <si>
    <t>MD23</t>
    <phoneticPr fontId="3" type="noConversion"/>
  </si>
  <si>
    <t>MD24</t>
    <phoneticPr fontId="3" type="noConversion"/>
  </si>
  <si>
    <t>MD25</t>
    <phoneticPr fontId="3" type="noConversion"/>
  </si>
  <si>
    <t>MD26</t>
    <phoneticPr fontId="3" type="noConversion"/>
  </si>
  <si>
    <t>MD27</t>
    <phoneticPr fontId="3" type="noConversion"/>
  </si>
  <si>
    <t>MD28</t>
    <phoneticPr fontId="3" type="noConversion"/>
  </si>
  <si>
    <t>MD29</t>
    <phoneticPr fontId="3" type="noConversion"/>
  </si>
  <si>
    <t>MD30</t>
    <phoneticPr fontId="3" type="noConversion"/>
  </si>
  <si>
    <t>MD31</t>
    <phoneticPr fontId="3" type="noConversion"/>
  </si>
  <si>
    <t>MD32</t>
    <phoneticPr fontId="3" type="noConversion"/>
  </si>
  <si>
    <t>MD33</t>
    <phoneticPr fontId="3" type="noConversion"/>
  </si>
  <si>
    <t>MD34</t>
  </si>
  <si>
    <t>MD34</t>
    <phoneticPr fontId="3" type="noConversion"/>
  </si>
  <si>
    <t>MD35</t>
  </si>
  <si>
    <t>MD36</t>
  </si>
  <si>
    <t>MD37</t>
  </si>
  <si>
    <t>MD38-1</t>
    <phoneticPr fontId="3" type="noConversion"/>
  </si>
  <si>
    <t>MD38-2</t>
    <phoneticPr fontId="3" type="noConversion"/>
  </si>
  <si>
    <t>MD34</t>
    <phoneticPr fontId="3" type="noConversion"/>
  </si>
  <si>
    <t>MD35</t>
    <phoneticPr fontId="3" type="noConversion"/>
  </si>
  <si>
    <t>作業本</t>
  </si>
  <si>
    <t>MD36</t>
    <phoneticPr fontId="3" type="noConversion"/>
  </si>
  <si>
    <t>吸管</t>
    <phoneticPr fontId="3" type="noConversion"/>
  </si>
  <si>
    <t>Misc.Nets</t>
    <phoneticPr fontId="3" type="noConversion"/>
  </si>
  <si>
    <t>MD37</t>
    <phoneticPr fontId="3" type="noConversion"/>
  </si>
  <si>
    <t>瓶蓋</t>
    <phoneticPr fontId="3" type="noConversion"/>
  </si>
  <si>
    <t>壺</t>
    <phoneticPr fontId="3" type="noConversion"/>
  </si>
  <si>
    <t>植物纖維</t>
    <phoneticPr fontId="3" type="noConversion"/>
  </si>
  <si>
    <t>有一個網格碎片</t>
    <phoneticPr fontId="3" type="noConversion"/>
  </si>
  <si>
    <t xml:space="preserve"> </t>
    <phoneticPr fontId="3" type="noConversion"/>
  </si>
  <si>
    <t>OR1-1235</t>
    <phoneticPr fontId="3" type="noConversion"/>
  </si>
  <si>
    <t>MD1-1</t>
    <phoneticPr fontId="3" type="noConversion"/>
  </si>
  <si>
    <t>Plastics</t>
    <phoneticPr fontId="3" type="noConversion"/>
  </si>
  <si>
    <t>Plastic Fragment</t>
    <phoneticPr fontId="3" type="noConversion"/>
  </si>
  <si>
    <t>Plastics</t>
    <phoneticPr fontId="3" type="noConversion"/>
  </si>
  <si>
    <t>Bags</t>
    <phoneticPr fontId="3" type="noConversion"/>
  </si>
  <si>
    <t>Bottles</t>
    <phoneticPr fontId="3" type="noConversion"/>
  </si>
  <si>
    <t>Plastics</t>
    <phoneticPr fontId="3" type="noConversion"/>
  </si>
  <si>
    <t>Styrofoam</t>
    <phoneticPr fontId="3" type="noConversion"/>
  </si>
  <si>
    <t>Plastics</t>
    <phoneticPr fontId="3" type="noConversion"/>
  </si>
  <si>
    <t>Glass</t>
    <phoneticPr fontId="3" type="noConversion"/>
  </si>
  <si>
    <t>Glass Bottle</t>
    <phoneticPr fontId="3" type="noConversion"/>
  </si>
  <si>
    <t>Can</t>
    <phoneticPr fontId="3" type="noConversion"/>
  </si>
  <si>
    <t>Wildlife</t>
    <phoneticPr fontId="3" type="noConversion"/>
  </si>
  <si>
    <t>Seabirds</t>
    <phoneticPr fontId="3" type="noConversion"/>
  </si>
  <si>
    <t>Fish</t>
    <phoneticPr fontId="3" type="noConversion"/>
  </si>
  <si>
    <t>Wood</t>
    <phoneticPr fontId="3" type="noConversion"/>
  </si>
  <si>
    <t>MD1-2</t>
  </si>
  <si>
    <t>Fishing</t>
    <phoneticPr fontId="3" type="noConversion"/>
  </si>
  <si>
    <t>Buoys</t>
    <phoneticPr fontId="3" type="noConversion"/>
  </si>
  <si>
    <t>Plastics</t>
    <phoneticPr fontId="3" type="noConversion"/>
  </si>
  <si>
    <t>Plastic Fragment</t>
    <phoneticPr fontId="3" type="noConversion"/>
  </si>
  <si>
    <t>Bottles</t>
    <phoneticPr fontId="3" type="noConversion"/>
  </si>
  <si>
    <t>Styrofoam</t>
    <phoneticPr fontId="3" type="noConversion"/>
  </si>
  <si>
    <t>Glass Bottle</t>
    <phoneticPr fontId="3" type="noConversion"/>
  </si>
  <si>
    <t>Glass</t>
    <phoneticPr fontId="3" type="noConversion"/>
  </si>
  <si>
    <t>Fish</t>
    <phoneticPr fontId="3" type="noConversion"/>
  </si>
  <si>
    <t>鬼頭刀</t>
    <phoneticPr fontId="3" type="noConversion"/>
  </si>
  <si>
    <t>Others</t>
    <phoneticPr fontId="3" type="noConversion"/>
  </si>
  <si>
    <t>MD2-1</t>
    <phoneticPr fontId="3" type="noConversion"/>
  </si>
  <si>
    <t>Seabirds</t>
    <phoneticPr fontId="3" type="noConversion"/>
  </si>
  <si>
    <t>鬼頭刀2；飛魚2</t>
    <phoneticPr fontId="3" type="noConversion"/>
  </si>
  <si>
    <t>MD2-2</t>
  </si>
  <si>
    <t>Plastics</t>
    <phoneticPr fontId="3" type="noConversion"/>
  </si>
  <si>
    <t>Wildlife</t>
    <phoneticPr fontId="3" type="noConversion"/>
  </si>
  <si>
    <t>Seabirds</t>
    <phoneticPr fontId="3" type="noConversion"/>
  </si>
  <si>
    <t>Wildlife</t>
    <phoneticPr fontId="3" type="noConversion"/>
  </si>
  <si>
    <t>Fish</t>
    <phoneticPr fontId="3" type="noConversion"/>
  </si>
  <si>
    <t>MD3-1</t>
    <phoneticPr fontId="3" type="noConversion"/>
  </si>
  <si>
    <t>Bottles</t>
    <phoneticPr fontId="3" type="noConversion"/>
  </si>
  <si>
    <t>Styrofoam</t>
    <phoneticPr fontId="3" type="noConversion"/>
  </si>
  <si>
    <t>Others</t>
    <phoneticPr fontId="3" type="noConversion"/>
  </si>
  <si>
    <t>Plastics</t>
    <phoneticPr fontId="3" type="noConversion"/>
  </si>
  <si>
    <t>Other Plastic Item</t>
    <phoneticPr fontId="3" type="noConversion"/>
  </si>
  <si>
    <t>Others</t>
    <phoneticPr fontId="3" type="noConversion"/>
  </si>
  <si>
    <t>Wood</t>
    <phoneticPr fontId="3" type="noConversion"/>
  </si>
  <si>
    <t>Others</t>
    <phoneticPr fontId="3" type="noConversion"/>
  </si>
  <si>
    <t>泡麵紙</t>
    <phoneticPr fontId="3" type="noConversion"/>
  </si>
  <si>
    <t>Wildlife</t>
    <phoneticPr fontId="3" type="noConversion"/>
  </si>
  <si>
    <t>飛魚</t>
    <phoneticPr fontId="3" type="noConversion"/>
  </si>
  <si>
    <t>木屑</t>
    <phoneticPr fontId="3" type="noConversion"/>
  </si>
  <si>
    <t>MD3-2</t>
  </si>
  <si>
    <t>Fishing</t>
    <phoneticPr fontId="3" type="noConversion"/>
  </si>
  <si>
    <t>Other Plastic Item</t>
    <phoneticPr fontId="3" type="noConversion"/>
  </si>
  <si>
    <t>Other Fishing Item</t>
    <phoneticPr fontId="3" type="noConversion"/>
  </si>
  <si>
    <t>手撈網</t>
    <phoneticPr fontId="3" type="noConversion"/>
  </si>
  <si>
    <t>Plastics</t>
    <phoneticPr fontId="3" type="noConversion"/>
  </si>
  <si>
    <t>Bags</t>
    <phoneticPr fontId="3" type="noConversion"/>
  </si>
  <si>
    <t>Plastics</t>
    <phoneticPr fontId="3" type="noConversion"/>
  </si>
  <si>
    <t>Others</t>
    <phoneticPr fontId="3" type="noConversion"/>
  </si>
  <si>
    <t>植物</t>
    <phoneticPr fontId="3" type="noConversion"/>
  </si>
  <si>
    <t>Others</t>
    <phoneticPr fontId="3" type="noConversion"/>
  </si>
  <si>
    <t>紙屑</t>
    <phoneticPr fontId="3" type="noConversion"/>
  </si>
  <si>
    <t>木屑patch</t>
    <phoneticPr fontId="3" type="noConversion"/>
  </si>
  <si>
    <t>次</t>
    <phoneticPr fontId="3" type="noConversion"/>
  </si>
  <si>
    <t>MD4-1</t>
    <phoneticPr fontId="3" type="noConversion"/>
  </si>
  <si>
    <t>Plastic Fragment</t>
    <phoneticPr fontId="3" type="noConversion"/>
  </si>
  <si>
    <t>Others</t>
    <phoneticPr fontId="3" type="noConversion"/>
  </si>
  <si>
    <t>夾腳拖</t>
    <phoneticPr fontId="3" type="noConversion"/>
  </si>
  <si>
    <t>Cardboard</t>
  </si>
  <si>
    <t>Others</t>
    <phoneticPr fontId="3" type="noConversion"/>
  </si>
  <si>
    <t>Wildlife</t>
    <phoneticPr fontId="3" type="noConversion"/>
  </si>
  <si>
    <t>Dragon Fly</t>
    <phoneticPr fontId="3" type="noConversion"/>
  </si>
  <si>
    <t>MD4-2</t>
    <phoneticPr fontId="3" type="noConversion"/>
  </si>
  <si>
    <t>Plastics</t>
    <phoneticPr fontId="3" type="noConversion"/>
  </si>
  <si>
    <t>Plastic Fragment</t>
    <phoneticPr fontId="3" type="noConversion"/>
  </si>
  <si>
    <t>Other Plastic Item</t>
    <phoneticPr fontId="3" type="noConversion"/>
  </si>
  <si>
    <t>Plastics</t>
    <phoneticPr fontId="3" type="noConversion"/>
  </si>
  <si>
    <t>鋁拉環</t>
    <phoneticPr fontId="3" type="noConversion"/>
  </si>
  <si>
    <t>Others</t>
    <phoneticPr fontId="3" type="noConversion"/>
  </si>
  <si>
    <t>飛魚</t>
    <phoneticPr fontId="3" type="noConversion"/>
  </si>
  <si>
    <t>MD6-1</t>
    <phoneticPr fontId="3" type="noConversion"/>
  </si>
  <si>
    <t>Bags</t>
    <phoneticPr fontId="3" type="noConversion"/>
  </si>
  <si>
    <t>Styrofoam</t>
    <phoneticPr fontId="3" type="noConversion"/>
  </si>
  <si>
    <t>Other Plastic Item</t>
    <phoneticPr fontId="3" type="noConversion"/>
  </si>
  <si>
    <t>line</t>
    <phoneticPr fontId="3" type="noConversion"/>
  </si>
  <si>
    <t>Misc. Line</t>
  </si>
  <si>
    <t>Misc. Line</t>
    <phoneticPr fontId="3" type="noConversion"/>
  </si>
  <si>
    <t>Cardboard</t>
    <phoneticPr fontId="3" type="noConversion"/>
  </si>
  <si>
    <t>Processed lumber</t>
  </si>
  <si>
    <t>Others</t>
    <phoneticPr fontId="3" type="noConversion"/>
  </si>
  <si>
    <t>DSC_3751~3759、3966、3967、3959</t>
    <phoneticPr fontId="3" type="noConversion"/>
  </si>
  <si>
    <t>DSC_3854</t>
    <phoneticPr fontId="3" type="noConversion"/>
  </si>
  <si>
    <t>橡皮圈</t>
    <phoneticPr fontId="3" type="noConversion"/>
  </si>
  <si>
    <t>OR1-1244</t>
  </si>
  <si>
    <t>OR1-1235</t>
  </si>
  <si>
    <t>MD6-2</t>
    <phoneticPr fontId="3" type="noConversion"/>
  </si>
  <si>
    <t>Plastic Fragment</t>
    <phoneticPr fontId="3" type="noConversion"/>
  </si>
  <si>
    <t>Other Plastic Item</t>
    <phoneticPr fontId="3" type="noConversion"/>
  </si>
  <si>
    <t>瓶蓋</t>
    <phoneticPr fontId="3" type="noConversion"/>
  </si>
  <si>
    <t>Processed lumber</t>
    <phoneticPr fontId="3" type="noConversion"/>
  </si>
  <si>
    <t>紙袋</t>
    <phoneticPr fontId="3" type="noConversion"/>
  </si>
  <si>
    <t>MD7-1</t>
    <phoneticPr fontId="3" type="noConversion"/>
  </si>
  <si>
    <t>Misc. Line</t>
    <phoneticPr fontId="3" type="noConversion"/>
  </si>
  <si>
    <t>Styrofoam</t>
    <phoneticPr fontId="3" type="noConversion"/>
  </si>
  <si>
    <t>MD7-2</t>
  </si>
  <si>
    <t>Plastics</t>
    <phoneticPr fontId="3" type="noConversion"/>
  </si>
  <si>
    <t>紙杯</t>
    <phoneticPr fontId="3" type="noConversion"/>
  </si>
  <si>
    <t>Beverage Carton</t>
    <phoneticPr fontId="3" type="noConversion"/>
  </si>
  <si>
    <t>Can</t>
    <phoneticPr fontId="3" type="noConversion"/>
  </si>
  <si>
    <t>Oil Spill</t>
    <phoneticPr fontId="3" type="noConversion"/>
  </si>
  <si>
    <t>Shoes</t>
    <phoneticPr fontId="3" type="noConversion"/>
  </si>
  <si>
    <t>Bamboo</t>
  </si>
  <si>
    <t>Bamboo</t>
    <phoneticPr fontId="3" type="noConversion"/>
  </si>
  <si>
    <t>MD8-1</t>
    <phoneticPr fontId="3" type="noConversion"/>
  </si>
  <si>
    <t>Bags</t>
    <phoneticPr fontId="3" type="noConversion"/>
  </si>
  <si>
    <t>Others</t>
    <phoneticPr fontId="3" type="noConversion"/>
  </si>
  <si>
    <t>Algae</t>
    <phoneticPr fontId="3" type="noConversion"/>
  </si>
  <si>
    <t>Fishing</t>
    <phoneticPr fontId="3" type="noConversion"/>
  </si>
  <si>
    <t>Misc. Line</t>
    <phoneticPr fontId="3" type="noConversion"/>
  </si>
  <si>
    <t>Misc. Nets</t>
    <phoneticPr fontId="3" type="noConversion"/>
  </si>
  <si>
    <t>MD8-2</t>
  </si>
  <si>
    <t>Bags</t>
    <phoneticPr fontId="3" type="noConversion"/>
  </si>
  <si>
    <t>Wood</t>
    <phoneticPr fontId="3" type="noConversion"/>
  </si>
  <si>
    <t>Others</t>
    <phoneticPr fontId="3" type="noConversion"/>
  </si>
  <si>
    <t>Algae</t>
    <phoneticPr fontId="3" type="noConversion"/>
  </si>
  <si>
    <t>Change_Heading1</t>
    <phoneticPr fontId="3" type="noConversion"/>
  </si>
  <si>
    <t>Change_Time1</t>
    <phoneticPr fontId="3" type="noConversion"/>
  </si>
  <si>
    <t>Change_Long1</t>
    <phoneticPr fontId="3" type="noConversion"/>
  </si>
  <si>
    <t>Change_Lat1</t>
    <phoneticPr fontId="3" type="noConversion"/>
  </si>
  <si>
    <t>Change_Time2</t>
    <phoneticPr fontId="3" type="noConversion"/>
  </si>
  <si>
    <t>Change_Heading2</t>
    <phoneticPr fontId="3" type="noConversion"/>
  </si>
  <si>
    <t>Change_Long2</t>
    <phoneticPr fontId="3" type="noConversion"/>
  </si>
  <si>
    <t>Change_Lat2</t>
    <phoneticPr fontId="3" type="noConversion"/>
  </si>
  <si>
    <t>from calm to choppy</t>
    <phoneticPr fontId="3" type="noConversion"/>
  </si>
  <si>
    <t>choppy</t>
    <phoneticPr fontId="3" type="noConversion"/>
  </si>
  <si>
    <t>MD9-2</t>
    <phoneticPr fontId="3" type="noConversion"/>
  </si>
  <si>
    <t>MD10-1</t>
    <phoneticPr fontId="3" type="noConversion"/>
  </si>
  <si>
    <t>Plastics</t>
    <phoneticPr fontId="3" type="noConversion"/>
  </si>
  <si>
    <t>Bottles</t>
    <phoneticPr fontId="3" type="noConversion"/>
  </si>
  <si>
    <t>Other Plastic Item</t>
    <phoneticPr fontId="3" type="noConversion"/>
  </si>
  <si>
    <t>MD10-2</t>
  </si>
  <si>
    <t>Plastics</t>
    <phoneticPr fontId="3" type="noConversion"/>
  </si>
  <si>
    <t>植物</t>
    <phoneticPr fontId="3" type="noConversion"/>
  </si>
  <si>
    <t>棕櫚科</t>
    <phoneticPr fontId="3" type="noConversion"/>
  </si>
  <si>
    <t>紙屑</t>
    <phoneticPr fontId="3" type="noConversion"/>
  </si>
  <si>
    <t>Can</t>
    <phoneticPr fontId="3" type="noConversion"/>
  </si>
  <si>
    <t>MD11</t>
    <phoneticPr fontId="3" type="noConversion"/>
  </si>
  <si>
    <t>Misc. Line</t>
    <phoneticPr fontId="3" type="noConversion"/>
  </si>
  <si>
    <t>Plastic Wrap</t>
    <phoneticPr fontId="3" type="noConversion"/>
  </si>
  <si>
    <t>m^2</t>
    <phoneticPr fontId="3" type="noConversion"/>
  </si>
  <si>
    <t>MD12</t>
  </si>
  <si>
    <t>Plastics</t>
    <phoneticPr fontId="3" type="noConversion"/>
  </si>
  <si>
    <t>Plastics</t>
    <phoneticPr fontId="3" type="noConversion"/>
  </si>
  <si>
    <t>Others</t>
    <phoneticPr fontId="3" type="noConversion"/>
  </si>
  <si>
    <t>信封</t>
    <phoneticPr fontId="3" type="noConversion"/>
  </si>
  <si>
    <t>吸管</t>
    <phoneticPr fontId="3" type="noConversion"/>
  </si>
  <si>
    <t>膠帶</t>
    <phoneticPr fontId="3" type="noConversion"/>
  </si>
  <si>
    <t>MD13-1</t>
    <phoneticPr fontId="3" type="noConversion"/>
  </si>
  <si>
    <t>Wood</t>
    <phoneticPr fontId="3" type="noConversion"/>
  </si>
  <si>
    <t>MD13-2</t>
  </si>
  <si>
    <t>leaf</t>
    <phoneticPr fontId="3" type="noConversion"/>
  </si>
  <si>
    <t>MD14-1</t>
    <phoneticPr fontId="3" type="noConversion"/>
  </si>
  <si>
    <t>Plastics</t>
    <phoneticPr fontId="3" type="noConversion"/>
  </si>
  <si>
    <t>Glass</t>
    <phoneticPr fontId="3" type="noConversion"/>
  </si>
  <si>
    <t>MD14-2</t>
  </si>
  <si>
    <t>Plastic Fragment</t>
    <phoneticPr fontId="3" type="noConversion"/>
  </si>
  <si>
    <t>Plastics</t>
    <phoneticPr fontId="3" type="noConversion"/>
  </si>
  <si>
    <t>Metal Jugs</t>
    <phoneticPr fontId="3" type="noConversion"/>
  </si>
  <si>
    <t>leaf</t>
    <phoneticPr fontId="3" type="noConversion"/>
  </si>
  <si>
    <t>MD15-1</t>
    <phoneticPr fontId="3" type="noConversion"/>
  </si>
  <si>
    <t>Glass Bottle</t>
    <phoneticPr fontId="3" type="noConversion"/>
  </si>
  <si>
    <t>Glass</t>
    <phoneticPr fontId="3" type="noConversion"/>
  </si>
  <si>
    <t>河豚</t>
    <phoneticPr fontId="3" type="noConversion"/>
  </si>
  <si>
    <t>OR1-1244</t>
    <phoneticPr fontId="3" type="noConversion"/>
  </si>
  <si>
    <t>MD15-2</t>
  </si>
  <si>
    <t>Buoys</t>
    <phoneticPr fontId="3" type="noConversion"/>
  </si>
  <si>
    <t>Bottles</t>
    <phoneticPr fontId="3" type="noConversion"/>
  </si>
  <si>
    <t>MD16-1</t>
    <phoneticPr fontId="3" type="noConversion"/>
  </si>
  <si>
    <t>Plastics</t>
    <phoneticPr fontId="3" type="noConversion"/>
  </si>
  <si>
    <t>Other Plastic Item</t>
    <phoneticPr fontId="3" type="noConversion"/>
  </si>
  <si>
    <t>MD16-2</t>
  </si>
  <si>
    <t>Fishing</t>
    <phoneticPr fontId="3" type="noConversion"/>
  </si>
  <si>
    <t>Buoys</t>
    <phoneticPr fontId="3" type="noConversion"/>
  </si>
  <si>
    <t>黃色漂浮物</t>
    <phoneticPr fontId="3" type="noConversion"/>
  </si>
  <si>
    <t>一群河豚</t>
    <phoneticPr fontId="3" type="noConversion"/>
  </si>
  <si>
    <t>Seabirds</t>
    <phoneticPr fontId="3" type="noConversion"/>
  </si>
  <si>
    <t>MD17-1</t>
    <phoneticPr fontId="3" type="noConversion"/>
  </si>
  <si>
    <t>Leaf</t>
    <phoneticPr fontId="3" type="noConversion"/>
  </si>
  <si>
    <t>Others</t>
    <phoneticPr fontId="3" type="noConversion"/>
  </si>
  <si>
    <t>MD17-2</t>
  </si>
  <si>
    <t>scrub sponge</t>
  </si>
  <si>
    <t>MD18</t>
    <phoneticPr fontId="3" type="noConversion"/>
  </si>
  <si>
    <t>MD19-1</t>
    <phoneticPr fontId="3" type="noConversion"/>
  </si>
  <si>
    <t>金屬盒子</t>
    <phoneticPr fontId="3" type="noConversion"/>
  </si>
  <si>
    <t>Unknown</t>
    <phoneticPr fontId="3" type="noConversion"/>
  </si>
  <si>
    <t>MD19-2</t>
  </si>
  <si>
    <t>Fishing</t>
    <phoneticPr fontId="3" type="noConversion"/>
  </si>
  <si>
    <t>瓶蓋</t>
    <phoneticPr fontId="3" type="noConversion"/>
  </si>
  <si>
    <t>飛魚</t>
    <phoneticPr fontId="3" type="noConversion"/>
  </si>
  <si>
    <t>MD20-2</t>
    <phoneticPr fontId="3" type="noConversion"/>
  </si>
  <si>
    <t>橡皮圈</t>
    <phoneticPr fontId="3" type="noConversion"/>
  </si>
  <si>
    <t>餅乾袋</t>
    <phoneticPr fontId="3" type="noConversion"/>
  </si>
  <si>
    <t>Processed lumber</t>
    <phoneticPr fontId="3" type="noConversion"/>
  </si>
  <si>
    <t>瓶蓋</t>
    <phoneticPr fontId="3" type="noConversion"/>
  </si>
  <si>
    <t>有一石頭狀物體</t>
    <phoneticPr fontId="3" type="noConversion"/>
  </si>
  <si>
    <t>IMG_0064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</si>
</sst>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yyyy\-mm\-dd;@"/>
    <numFmt numFmtId="178" formatCode="0.00000"/>
  </numFmts>
  <fonts count="10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Verdana"/>
      <family val="2"/>
    </font>
    <font>
      <sz val="12"/>
      <color theme="0"/>
      <name val="源泉圓體 R"/>
      <family val="2"/>
      <charset val="136"/>
    </font>
    <font>
      <sz val="11"/>
      <color theme="0"/>
      <name val="源泉圓體 R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4" fillId="0" borderId="0"/>
    <xf numFmtId="0" fontId="1" fillId="8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6" fillId="3" borderId="0" xfId="0" applyFont="1" applyFill="1"/>
    <xf numFmtId="0" fontId="5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Fill="1" applyBorder="1" applyAlignment="1">
      <alignment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0" fontId="7" fillId="0" borderId="1" xfId="0" applyNumberFormat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20" fontId="7" fillId="0" borderId="1" xfId="0" applyNumberFormat="1" applyFont="1" applyFill="1" applyBorder="1" applyAlignment="1">
      <alignment vertical="center"/>
    </xf>
    <xf numFmtId="178" fontId="7" fillId="0" borderId="1" xfId="0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4" borderId="2" xfId="1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5" fillId="3" borderId="2" xfId="1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 wrapText="1"/>
    </xf>
  </cellXfs>
  <cellStyles count="4">
    <cellStyle name="20% - 輔色1 2" xfId="3"/>
    <cellStyle name="60% - 輔色1" xfId="1" builtinId="32"/>
    <cellStyle name="一般" xfId="0" builtinId="0"/>
    <cellStyle name="一般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6"/>
  <sheetViews>
    <sheetView zoomScale="90" zoomScaleNormal="90" workbookViewId="0">
      <pane ySplit="1" topLeftCell="A26" activePane="bottomLeft" state="frozen"/>
      <selection activeCell="C1" sqref="C1"/>
      <selection pane="bottomLeft" activeCell="R43" sqref="R43"/>
    </sheetView>
  </sheetViews>
  <sheetFormatPr defaultRowHeight="15.75"/>
  <cols>
    <col min="1" max="1" width="12.42578125" bestFit="1" customWidth="1"/>
    <col min="2" max="2" width="15.42578125" bestFit="1" customWidth="1"/>
    <col min="3" max="3" width="11.5703125" bestFit="1" customWidth="1"/>
    <col min="4" max="4" width="11" bestFit="1" customWidth="1"/>
    <col min="5" max="5" width="12.140625" bestFit="1" customWidth="1"/>
    <col min="6" max="6" width="17.42578125" customWidth="1"/>
    <col min="7" max="7" width="17" customWidth="1"/>
    <col min="8" max="8" width="15.7109375" bestFit="1" customWidth="1"/>
    <col min="9" max="9" width="15.7109375" customWidth="1"/>
    <col min="10" max="10" width="14.7109375" customWidth="1"/>
    <col min="11" max="11" width="19.140625" bestFit="1" customWidth="1"/>
    <col min="12" max="12" width="14.5703125" bestFit="1" customWidth="1"/>
    <col min="13" max="13" width="13" bestFit="1" customWidth="1"/>
    <col min="14" max="14" width="15.28515625" bestFit="1" customWidth="1"/>
    <col min="15" max="15" width="18.28515625" bestFit="1" customWidth="1"/>
    <col min="16" max="16" width="13.5703125" bestFit="1" customWidth="1"/>
    <col min="17" max="17" width="11.5703125" bestFit="1" customWidth="1"/>
    <col min="18" max="18" width="18.42578125" bestFit="1" customWidth="1"/>
    <col min="19" max="19" width="22.85546875" bestFit="1" customWidth="1"/>
    <col min="20" max="20" width="18.42578125" bestFit="1" customWidth="1"/>
    <col min="21" max="21" width="16.140625" bestFit="1" customWidth="1"/>
    <col min="22" max="22" width="18.42578125" bestFit="1" customWidth="1"/>
    <col min="23" max="23" width="19.85546875" bestFit="1" customWidth="1"/>
    <col min="24" max="24" width="18.42578125" bestFit="1" customWidth="1"/>
    <col min="25" max="25" width="16.140625" bestFit="1" customWidth="1"/>
  </cols>
  <sheetData>
    <row r="1" spans="1:25" s="5" customFormat="1" ht="18.75" customHeight="1">
      <c r="A1" s="6" t="s">
        <v>5</v>
      </c>
      <c r="B1" s="6" t="s">
        <v>0</v>
      </c>
      <c r="C1" s="6" t="s">
        <v>8</v>
      </c>
      <c r="D1" s="6" t="s">
        <v>22</v>
      </c>
      <c r="E1" s="7" t="s">
        <v>6</v>
      </c>
      <c r="F1" s="8" t="s">
        <v>4</v>
      </c>
      <c r="G1" s="7" t="s">
        <v>12</v>
      </c>
      <c r="H1" s="7" t="s">
        <v>13</v>
      </c>
      <c r="I1" s="7" t="s">
        <v>3</v>
      </c>
      <c r="J1" s="22" t="s">
        <v>14</v>
      </c>
      <c r="K1" s="22" t="s">
        <v>15</v>
      </c>
      <c r="L1" s="14" t="s">
        <v>16</v>
      </c>
      <c r="M1" s="14" t="s">
        <v>17</v>
      </c>
      <c r="N1" s="7" t="s">
        <v>18</v>
      </c>
      <c r="O1" s="7" t="s">
        <v>19</v>
      </c>
      <c r="P1" s="6" t="s">
        <v>20</v>
      </c>
      <c r="Q1" s="6" t="s">
        <v>21</v>
      </c>
      <c r="R1" s="15" t="s">
        <v>286</v>
      </c>
      <c r="S1" s="15" t="s">
        <v>285</v>
      </c>
      <c r="T1" s="16" t="s">
        <v>287</v>
      </c>
      <c r="U1" s="16" t="s">
        <v>288</v>
      </c>
      <c r="V1" s="15" t="s">
        <v>289</v>
      </c>
      <c r="W1" s="15" t="s">
        <v>290</v>
      </c>
      <c r="X1" s="16" t="s">
        <v>291</v>
      </c>
      <c r="Y1" s="16" t="s">
        <v>292</v>
      </c>
    </row>
    <row r="2" spans="1:25" s="10" customFormat="1" ht="16.149999999999999" customHeight="1">
      <c r="A2" s="10" t="s">
        <v>70</v>
      </c>
      <c r="B2" s="11">
        <v>43674</v>
      </c>
      <c r="C2" s="10" t="s">
        <v>91</v>
      </c>
      <c r="E2" s="10" t="s">
        <v>71</v>
      </c>
      <c r="F2" s="10">
        <v>6</v>
      </c>
      <c r="G2" s="12"/>
      <c r="I2" s="10" t="s">
        <v>73</v>
      </c>
      <c r="J2" s="13">
        <v>0.37777777777777777</v>
      </c>
      <c r="K2" s="12">
        <v>244</v>
      </c>
      <c r="L2" s="17">
        <f>121+34.8578/60</f>
        <v>121.58096333333333</v>
      </c>
      <c r="M2" s="17">
        <f>23+9.2899/60</f>
        <v>23.154831666666666</v>
      </c>
      <c r="N2" s="13">
        <v>0.4201388888888889</v>
      </c>
      <c r="O2" s="12">
        <v>208</v>
      </c>
      <c r="P2" s="17">
        <f>121+30.2404/60</f>
        <v>121.50400666666667</v>
      </c>
      <c r="Q2" s="17">
        <f>23+5.5808/60</f>
        <v>23.093013333333332</v>
      </c>
      <c r="R2" s="18"/>
      <c r="T2" s="19"/>
      <c r="U2" s="19"/>
      <c r="V2" s="18"/>
      <c r="X2" s="19"/>
      <c r="Y2" s="19"/>
    </row>
    <row r="3" spans="1:25" s="10" customFormat="1" ht="16.149999999999999" customHeight="1">
      <c r="A3" s="10" t="s">
        <v>70</v>
      </c>
      <c r="B3" s="11">
        <v>43674</v>
      </c>
      <c r="C3" s="10" t="s">
        <v>92</v>
      </c>
      <c r="E3" s="10" t="s">
        <v>72</v>
      </c>
      <c r="F3" s="10">
        <v>5.8</v>
      </c>
      <c r="G3" s="12"/>
      <c r="J3" s="13">
        <v>0.37638888888888888</v>
      </c>
      <c r="K3" s="12">
        <v>242</v>
      </c>
      <c r="L3" s="17">
        <f>121+34.989/60</f>
        <v>121.58315</v>
      </c>
      <c r="M3" s="17">
        <f>23+9.3158/60</f>
        <v>23.155263333333334</v>
      </c>
      <c r="N3" s="13">
        <v>0.41875000000000001</v>
      </c>
      <c r="O3" s="12">
        <v>209</v>
      </c>
      <c r="P3" s="17">
        <f>121+30.2983/60</f>
        <v>121.50497166666666</v>
      </c>
      <c r="Q3" s="17">
        <f>23+5.68/60</f>
        <v>23.094666666666665</v>
      </c>
      <c r="R3" s="18"/>
      <c r="T3" s="19"/>
      <c r="U3" s="19"/>
      <c r="V3" s="18"/>
      <c r="X3" s="19"/>
      <c r="Y3" s="19"/>
    </row>
    <row r="4" spans="1:25" s="10" customFormat="1" ht="16.149999999999999" customHeight="1">
      <c r="A4" s="10" t="s">
        <v>70</v>
      </c>
      <c r="B4" s="11">
        <v>43674</v>
      </c>
      <c r="C4" s="10" t="s">
        <v>93</v>
      </c>
      <c r="E4" s="10" t="s">
        <v>72</v>
      </c>
      <c r="F4" s="10">
        <v>5.8</v>
      </c>
      <c r="G4" s="12"/>
      <c r="I4" s="10" t="s">
        <v>73</v>
      </c>
      <c r="J4" s="13">
        <v>0.42430555555555555</v>
      </c>
      <c r="K4" s="12">
        <v>207</v>
      </c>
      <c r="L4" s="17">
        <f>121+29.887/60</f>
        <v>121.49811666666666</v>
      </c>
      <c r="M4" s="17">
        <f>23+5.0413/60</f>
        <v>23.084021666666665</v>
      </c>
      <c r="N4" s="13">
        <v>0.46597222222222223</v>
      </c>
      <c r="O4" s="12">
        <v>206</v>
      </c>
      <c r="P4" s="17">
        <f>121+26.6655/60</f>
        <v>121.444425</v>
      </c>
      <c r="Q4" s="17">
        <f>22+59.3153/60</f>
        <v>22.988588333333333</v>
      </c>
      <c r="R4" s="18"/>
      <c r="T4" s="19"/>
      <c r="U4" s="19"/>
      <c r="V4" s="18"/>
      <c r="X4" s="19"/>
      <c r="Y4" s="19"/>
    </row>
    <row r="5" spans="1:25" s="10" customFormat="1" ht="16.149999999999999" customHeight="1">
      <c r="A5" s="10" t="s">
        <v>70</v>
      </c>
      <c r="B5" s="11">
        <v>43674</v>
      </c>
      <c r="C5" s="10" t="s">
        <v>94</v>
      </c>
      <c r="E5" s="10" t="s">
        <v>71</v>
      </c>
      <c r="F5" s="10">
        <v>6</v>
      </c>
      <c r="G5" s="12"/>
      <c r="J5" s="13">
        <v>0.42430555555555555</v>
      </c>
      <c r="K5" s="12">
        <v>208</v>
      </c>
      <c r="L5" s="17">
        <f>121+29.92/60</f>
        <v>121.49866666666667</v>
      </c>
      <c r="M5" s="17">
        <f>23+5.095/60</f>
        <v>23.084916666666668</v>
      </c>
      <c r="N5" s="13">
        <v>0.47083333333333338</v>
      </c>
      <c r="O5" s="12">
        <v>206</v>
      </c>
      <c r="P5" s="17">
        <f>121+26.6215/60</f>
        <v>121.44369166666667</v>
      </c>
      <c r="Q5" s="17">
        <f>22+59.2051/60</f>
        <v>22.986751666666667</v>
      </c>
      <c r="R5" s="18"/>
      <c r="T5" s="19"/>
      <c r="U5" s="19"/>
      <c r="V5" s="18"/>
      <c r="X5" s="19"/>
      <c r="Y5" s="19"/>
    </row>
    <row r="6" spans="1:25" s="10" customFormat="1" ht="16.149999999999999" customHeight="1">
      <c r="A6" s="10" t="s">
        <v>70</v>
      </c>
      <c r="B6" s="11">
        <v>43674</v>
      </c>
      <c r="C6" s="10" t="s">
        <v>95</v>
      </c>
      <c r="E6" s="10" t="s">
        <v>71</v>
      </c>
      <c r="F6" s="10">
        <v>4.5</v>
      </c>
      <c r="G6" s="12"/>
      <c r="I6" s="10" t="s">
        <v>73</v>
      </c>
      <c r="J6" s="13">
        <v>0.57291666666666663</v>
      </c>
      <c r="K6" s="12">
        <v>175</v>
      </c>
      <c r="L6" s="17">
        <f>121+22.1075/60</f>
        <v>121.36845833333334</v>
      </c>
      <c r="M6" s="17">
        <f>22+46.4918/60</f>
        <v>22.774863333333332</v>
      </c>
      <c r="N6" s="13">
        <v>0.61597222222222225</v>
      </c>
      <c r="O6" s="12">
        <v>185</v>
      </c>
      <c r="P6" s="17">
        <f>121+22.4618/60</f>
        <v>121.37436333333333</v>
      </c>
      <c r="Q6" s="17">
        <f>22+41.613/60</f>
        <v>22.693549999999998</v>
      </c>
      <c r="R6" s="18"/>
      <c r="T6" s="19"/>
      <c r="U6" s="19"/>
      <c r="V6" s="18"/>
      <c r="X6" s="19"/>
      <c r="Y6" s="19"/>
    </row>
    <row r="7" spans="1:25" s="10" customFormat="1" ht="16.149999999999999" customHeight="1">
      <c r="A7" s="10" t="s">
        <v>70</v>
      </c>
      <c r="B7" s="11">
        <v>43674</v>
      </c>
      <c r="C7" s="10" t="s">
        <v>96</v>
      </c>
      <c r="E7" s="10" t="s">
        <v>72</v>
      </c>
      <c r="F7" s="10">
        <v>4.8</v>
      </c>
      <c r="G7" s="12"/>
      <c r="J7" s="13">
        <v>0.57013888888888886</v>
      </c>
      <c r="K7" s="12">
        <v>175</v>
      </c>
      <c r="L7" s="17">
        <f>121+22.075/60</f>
        <v>121.36791666666667</v>
      </c>
      <c r="M7" s="17">
        <f>22+46.848/60</f>
        <v>22.780799999999999</v>
      </c>
      <c r="N7" s="13">
        <v>0.6118055555555556</v>
      </c>
      <c r="O7" s="12">
        <v>183</v>
      </c>
      <c r="P7" s="17">
        <f>121+22.435/60</f>
        <v>121.37391666666667</v>
      </c>
      <c r="Q7" s="17">
        <f>22+42.117/60</f>
        <v>22.70195</v>
      </c>
      <c r="R7" s="18"/>
      <c r="T7" s="19"/>
      <c r="U7" s="19"/>
      <c r="V7" s="18"/>
      <c r="X7" s="19"/>
      <c r="Y7" s="19"/>
    </row>
    <row r="8" spans="1:25" s="10" customFormat="1" ht="16.149999999999999" customHeight="1">
      <c r="A8" s="10" t="s">
        <v>69</v>
      </c>
      <c r="B8" s="11">
        <v>43675</v>
      </c>
      <c r="C8" s="10" t="s">
        <v>97</v>
      </c>
      <c r="E8" s="10" t="s">
        <v>71</v>
      </c>
      <c r="F8" s="10">
        <v>6.6</v>
      </c>
      <c r="G8" s="12"/>
      <c r="I8" s="10" t="s">
        <v>73</v>
      </c>
      <c r="J8" s="13">
        <v>0.44444444444444442</v>
      </c>
      <c r="K8" s="12">
        <v>264</v>
      </c>
      <c r="L8" s="17">
        <f>121+31.4749/60</f>
        <v>121.52458166666666</v>
      </c>
      <c r="M8" s="17">
        <f>21+49.0489/60</f>
        <v>21.817481666666666</v>
      </c>
      <c r="N8" s="13">
        <v>0.4861111111111111</v>
      </c>
      <c r="O8" s="12">
        <v>268</v>
      </c>
      <c r="P8" s="17">
        <f>121+23.8979/60</f>
        <v>121.39829833333333</v>
      </c>
      <c r="Q8" s="17">
        <f>21+49.6849/60</f>
        <v>21.828081666666666</v>
      </c>
      <c r="R8" s="18"/>
      <c r="T8" s="19"/>
      <c r="U8" s="19"/>
      <c r="V8" s="18"/>
      <c r="X8" s="19"/>
      <c r="Y8" s="19"/>
    </row>
    <row r="9" spans="1:25" s="10" customFormat="1" ht="16.149999999999999" customHeight="1">
      <c r="A9" s="10" t="s">
        <v>69</v>
      </c>
      <c r="B9" s="11">
        <v>43675</v>
      </c>
      <c r="C9" s="10" t="s">
        <v>98</v>
      </c>
      <c r="E9" s="10" t="s">
        <v>72</v>
      </c>
      <c r="F9" s="10">
        <v>6.7</v>
      </c>
      <c r="G9" s="12"/>
      <c r="J9" s="13">
        <v>0.44513888888888892</v>
      </c>
      <c r="K9" s="12">
        <v>264</v>
      </c>
      <c r="L9" s="17">
        <f>121+31.27/60</f>
        <v>121.52116666666667</v>
      </c>
      <c r="M9" s="17">
        <f>21+49.06/60</f>
        <v>21.817666666666668</v>
      </c>
      <c r="N9" s="13">
        <v>0.48819444444444443</v>
      </c>
      <c r="O9" s="12">
        <v>268</v>
      </c>
      <c r="P9" s="17">
        <f>121+23.571/60</f>
        <v>121.39285</v>
      </c>
      <c r="Q9" s="17">
        <f>21+49.734/60</f>
        <v>21.828900000000001</v>
      </c>
      <c r="R9" s="18"/>
      <c r="T9" s="19"/>
      <c r="U9" s="19"/>
      <c r="V9" s="18"/>
      <c r="X9" s="19"/>
      <c r="Y9" s="19"/>
    </row>
    <row r="10" spans="1:25" s="10" customFormat="1" ht="16.149999999999999" customHeight="1">
      <c r="A10" s="10" t="s">
        <v>69</v>
      </c>
      <c r="B10" s="11">
        <v>43675</v>
      </c>
      <c r="C10" s="10" t="s">
        <v>99</v>
      </c>
      <c r="E10" s="10" t="s">
        <v>71</v>
      </c>
      <c r="F10" s="10">
        <v>7</v>
      </c>
      <c r="G10" s="12"/>
      <c r="J10" s="13">
        <v>0.55277777777777781</v>
      </c>
      <c r="K10" s="12">
        <v>203</v>
      </c>
      <c r="L10" s="17">
        <f>121+15.2592/60</f>
        <v>121.25432000000001</v>
      </c>
      <c r="M10" s="17">
        <f>22+36.6812/60</f>
        <v>22.611353333333334</v>
      </c>
      <c r="N10" s="13">
        <v>0.59513888888888888</v>
      </c>
      <c r="O10" s="12">
        <v>269</v>
      </c>
      <c r="P10" s="17">
        <f>121+10.302/60</f>
        <v>121.1717</v>
      </c>
      <c r="Q10" s="17">
        <f>22+38.2393/60</f>
        <v>22.637321666666665</v>
      </c>
      <c r="R10" s="18"/>
      <c r="T10" s="19"/>
      <c r="U10" s="19"/>
      <c r="V10" s="18"/>
      <c r="X10" s="19"/>
      <c r="Y10" s="19"/>
    </row>
    <row r="11" spans="1:25" s="10" customFormat="1" ht="16.149999999999999" customHeight="1">
      <c r="A11" s="10" t="s">
        <v>69</v>
      </c>
      <c r="B11" s="11">
        <v>43675</v>
      </c>
      <c r="C11" s="10" t="s">
        <v>101</v>
      </c>
      <c r="E11" s="10" t="s">
        <v>74</v>
      </c>
      <c r="F11" s="10">
        <v>7</v>
      </c>
      <c r="G11" s="12" t="s">
        <v>294</v>
      </c>
      <c r="I11" s="10" t="s">
        <v>73</v>
      </c>
      <c r="J11" s="13">
        <v>0.65486111111111112</v>
      </c>
      <c r="K11" s="12">
        <v>187</v>
      </c>
      <c r="L11" s="17">
        <f>121+8.372/60</f>
        <v>121.13953333333333</v>
      </c>
      <c r="M11" s="17">
        <f>22+32.2914/60</f>
        <v>22.53819</v>
      </c>
      <c r="N11" s="13">
        <v>0.69652777777777775</v>
      </c>
      <c r="O11" s="12">
        <v>189</v>
      </c>
      <c r="P11" s="17">
        <f>121+7.6096/60</f>
        <v>121.12682666666667</v>
      </c>
      <c r="Q11" s="17">
        <f>22+25.8249/60</f>
        <v>22.430415</v>
      </c>
      <c r="R11" s="18"/>
      <c r="T11" s="19"/>
      <c r="U11" s="19"/>
      <c r="V11" s="18"/>
      <c r="X11" s="19"/>
      <c r="Y11" s="19"/>
    </row>
    <row r="12" spans="1:25" s="10" customFormat="1" ht="16.149999999999999" customHeight="1">
      <c r="A12" s="10" t="s">
        <v>69</v>
      </c>
      <c r="B12" s="11">
        <v>43675</v>
      </c>
      <c r="C12" s="10" t="s">
        <v>100</v>
      </c>
      <c r="E12" s="10" t="s">
        <v>72</v>
      </c>
      <c r="F12" s="10">
        <v>6.5</v>
      </c>
      <c r="G12" s="12"/>
      <c r="J12" s="13">
        <v>0.65347222222222223</v>
      </c>
      <c r="K12" s="12">
        <v>187</v>
      </c>
      <c r="L12" s="17">
        <f>121+8.494/60</f>
        <v>121.14156666666666</v>
      </c>
      <c r="M12" s="17">
        <f>22+32.52/60</f>
        <v>22.542000000000002</v>
      </c>
      <c r="N12" s="13">
        <v>0.69513888888888886</v>
      </c>
      <c r="O12" s="12">
        <v>188</v>
      </c>
      <c r="P12" s="17">
        <f>121+7.662/60</f>
        <v>121.1277</v>
      </c>
      <c r="Q12" s="17">
        <f>22+26.192/60</f>
        <v>22.436533333333333</v>
      </c>
      <c r="R12" s="18"/>
      <c r="T12" s="19"/>
      <c r="U12" s="19"/>
      <c r="V12" s="18"/>
      <c r="X12" s="19"/>
      <c r="Y12" s="19"/>
    </row>
    <row r="13" spans="1:25" s="10" customFormat="1" ht="16.149999999999999" customHeight="1">
      <c r="A13" s="10" t="s">
        <v>69</v>
      </c>
      <c r="B13" s="11">
        <v>43675</v>
      </c>
      <c r="C13" s="10" t="s">
        <v>102</v>
      </c>
      <c r="E13" s="10" t="s">
        <v>74</v>
      </c>
      <c r="F13" s="10">
        <v>6.4</v>
      </c>
      <c r="G13" s="12"/>
      <c r="I13" s="10" t="s">
        <v>73</v>
      </c>
      <c r="J13" s="13">
        <v>0.70138888888888884</v>
      </c>
      <c r="K13" s="12">
        <v>187</v>
      </c>
      <c r="L13" s="17">
        <f>121+7.4971/60</f>
        <v>121.12495166666666</v>
      </c>
      <c r="M13" s="17">
        <f>22+25.0315/60</f>
        <v>22.417191666666668</v>
      </c>
      <c r="N13" s="13">
        <v>0.73125000000000007</v>
      </c>
      <c r="O13" s="12">
        <v>207</v>
      </c>
      <c r="P13" s="17">
        <f>121+6.6238/60</f>
        <v>121.11039666666667</v>
      </c>
      <c r="Q13" s="17">
        <f>22+20.6155/60</f>
        <v>22.343591666666665</v>
      </c>
      <c r="R13" s="18"/>
      <c r="T13" s="19"/>
      <c r="U13" s="19"/>
      <c r="V13" s="18"/>
      <c r="X13" s="19"/>
      <c r="Y13" s="19"/>
    </row>
    <row r="14" spans="1:25" s="10" customFormat="1" ht="16.149999999999999" customHeight="1">
      <c r="A14" s="10" t="s">
        <v>69</v>
      </c>
      <c r="B14" s="11">
        <v>43675</v>
      </c>
      <c r="C14" s="10" t="s">
        <v>103</v>
      </c>
      <c r="E14" s="10" t="s">
        <v>72</v>
      </c>
      <c r="F14" s="10">
        <v>6.5</v>
      </c>
      <c r="G14" s="12"/>
      <c r="J14" s="13">
        <v>0.70138888888888884</v>
      </c>
      <c r="K14" s="12">
        <v>186</v>
      </c>
      <c r="L14" s="17">
        <f>121+7.508/60</f>
        <v>121.12513333333334</v>
      </c>
      <c r="M14" s="17">
        <f>22+25.134/60</f>
        <v>22.418900000000001</v>
      </c>
      <c r="N14" s="13">
        <v>0.73125000000000007</v>
      </c>
      <c r="O14" s="12">
        <v>207</v>
      </c>
      <c r="P14" s="17">
        <f>121+6.665/60</f>
        <v>121.11108333333334</v>
      </c>
      <c r="Q14" s="17">
        <f>22+20.654/60</f>
        <v>22.344233333333332</v>
      </c>
      <c r="R14" s="18"/>
      <c r="T14" s="19"/>
      <c r="U14" s="19"/>
      <c r="V14" s="18"/>
      <c r="X14" s="19"/>
      <c r="Y14" s="19"/>
    </row>
    <row r="15" spans="1:25" s="10" customFormat="1" ht="16.149999999999999" customHeight="1">
      <c r="A15" s="10" t="s">
        <v>69</v>
      </c>
      <c r="B15" s="11">
        <v>43676</v>
      </c>
      <c r="C15" s="10" t="s">
        <v>104</v>
      </c>
      <c r="E15" s="10" t="s">
        <v>71</v>
      </c>
      <c r="F15" s="10">
        <v>5.4</v>
      </c>
      <c r="G15" s="12"/>
      <c r="I15" s="10" t="s">
        <v>73</v>
      </c>
      <c r="J15" s="13">
        <v>0.62777777777777777</v>
      </c>
      <c r="K15" s="12">
        <v>257</v>
      </c>
      <c r="L15" s="17">
        <f>121+2.2076/60</f>
        <v>121.03679333333334</v>
      </c>
      <c r="M15" s="17">
        <f>21+52.4882/60</f>
        <v>21.874803333333332</v>
      </c>
      <c r="N15" s="13">
        <v>0.6694444444444444</v>
      </c>
      <c r="O15" s="12">
        <v>249</v>
      </c>
      <c r="P15" s="17">
        <f>120+56.7194/60</f>
        <v>120.94532333333333</v>
      </c>
      <c r="Q15" s="17">
        <f>21+52.1324/60</f>
        <v>21.868873333333333</v>
      </c>
      <c r="R15" s="18"/>
      <c r="T15" s="19"/>
      <c r="U15" s="19"/>
      <c r="V15" s="18"/>
      <c r="X15" s="19"/>
      <c r="Y15" s="19"/>
    </row>
    <row r="16" spans="1:25" s="10" customFormat="1" ht="16.149999999999999" customHeight="1">
      <c r="A16" s="10" t="s">
        <v>69</v>
      </c>
      <c r="B16" s="11">
        <v>43676</v>
      </c>
      <c r="C16" s="10" t="s">
        <v>105</v>
      </c>
      <c r="E16" s="10" t="s">
        <v>72</v>
      </c>
      <c r="F16" s="10">
        <v>5</v>
      </c>
      <c r="G16" s="12"/>
      <c r="J16" s="13">
        <v>0.62777777777777777</v>
      </c>
      <c r="K16" s="12">
        <v>255</v>
      </c>
      <c r="L16" s="17">
        <f>121+2.162/60</f>
        <v>121.03603333333334</v>
      </c>
      <c r="M16" s="17">
        <f>21+52.493/60</f>
        <v>21.874883333333333</v>
      </c>
      <c r="N16" s="13">
        <v>0.6694444444444444</v>
      </c>
      <c r="O16" s="12">
        <v>246</v>
      </c>
      <c r="P16" s="17">
        <f>120+56.793/60</f>
        <v>120.94655</v>
      </c>
      <c r="Q16" s="17">
        <f>21+52.14/60</f>
        <v>21.869</v>
      </c>
      <c r="R16" s="18"/>
      <c r="U16" s="19"/>
      <c r="V16" s="18"/>
      <c r="Y16" s="19"/>
    </row>
    <row r="17" spans="1:25" s="10" customFormat="1" ht="16.149999999999999" customHeight="1">
      <c r="A17" s="10" t="s">
        <v>69</v>
      </c>
      <c r="B17" s="11">
        <v>43676</v>
      </c>
      <c r="C17" s="10" t="s">
        <v>106</v>
      </c>
      <c r="E17" s="10" t="s">
        <v>74</v>
      </c>
      <c r="F17" s="10">
        <v>7.2</v>
      </c>
      <c r="G17" s="12" t="s">
        <v>293</v>
      </c>
      <c r="I17" s="10" t="s">
        <v>73</v>
      </c>
      <c r="J17" s="13">
        <v>0.74513888888888891</v>
      </c>
      <c r="K17" s="12">
        <v>276</v>
      </c>
      <c r="L17" s="17">
        <f>120+44.9025/60</f>
        <v>120.748375</v>
      </c>
      <c r="M17" s="17">
        <f>21+53.0328/60</f>
        <v>21.883880000000001</v>
      </c>
      <c r="N17" s="13">
        <v>0.78541666666666676</v>
      </c>
      <c r="O17" s="12">
        <v>341</v>
      </c>
      <c r="P17" s="17">
        <f>120+39.229/60</f>
        <v>120.65381666666667</v>
      </c>
      <c r="Q17" s="17">
        <f>21+57.1361/60</f>
        <v>21.952268333333333</v>
      </c>
      <c r="R17" s="13">
        <v>0.75763888888888886</v>
      </c>
      <c r="S17" s="10">
        <v>323</v>
      </c>
      <c r="T17" s="19">
        <f>120+42.2708/60</f>
        <v>120.70451333333334</v>
      </c>
      <c r="U17" s="19">
        <f>21+53.3216/60</f>
        <v>21.888693333333332</v>
      </c>
      <c r="V17" s="13">
        <v>0.77083333333333337</v>
      </c>
      <c r="W17" s="10">
        <v>341</v>
      </c>
      <c r="X17" s="19">
        <f>120+40.8243/60</f>
        <v>120.68040499999999</v>
      </c>
      <c r="Y17" s="19">
        <f>21+55.0691/60</f>
        <v>21.917818333333333</v>
      </c>
    </row>
    <row r="18" spans="1:25" s="10" customFormat="1" ht="16.149999999999999" customHeight="1">
      <c r="A18" s="10" t="s">
        <v>69</v>
      </c>
      <c r="B18" s="11">
        <v>43676</v>
      </c>
      <c r="C18" s="10" t="s">
        <v>107</v>
      </c>
      <c r="E18" s="10" t="s">
        <v>72</v>
      </c>
      <c r="F18" s="10">
        <v>7</v>
      </c>
      <c r="G18" s="12"/>
      <c r="J18" s="13">
        <v>0.74513888888888891</v>
      </c>
      <c r="K18" s="12">
        <v>276</v>
      </c>
      <c r="L18" s="17">
        <f>120+44.947/60</f>
        <v>120.74911666666667</v>
      </c>
      <c r="M18" s="17">
        <f>21+53.023/60</f>
        <v>21.883716666666668</v>
      </c>
      <c r="N18" s="13">
        <v>0.78680555555555554</v>
      </c>
      <c r="O18" s="12">
        <v>325</v>
      </c>
      <c r="P18" s="17">
        <f>120+39.063/60</f>
        <v>120.65105</v>
      </c>
      <c r="Q18" s="17">
        <f>21+57.331/60</f>
        <v>21.955516666666668</v>
      </c>
      <c r="R18" s="18"/>
      <c r="T18" s="19"/>
      <c r="U18" s="19"/>
      <c r="V18" s="18"/>
      <c r="X18" s="19"/>
      <c r="Y18" s="19"/>
    </row>
    <row r="19" spans="1:25" s="10" customFormat="1" ht="16.149999999999999" customHeight="1">
      <c r="A19" s="10" t="s">
        <v>69</v>
      </c>
      <c r="B19" s="11">
        <v>43680</v>
      </c>
      <c r="C19" s="10" t="s">
        <v>108</v>
      </c>
      <c r="E19" s="10" t="s">
        <v>71</v>
      </c>
      <c r="F19" s="10">
        <v>5.4</v>
      </c>
      <c r="G19" s="12"/>
      <c r="I19" s="10" t="s">
        <v>73</v>
      </c>
      <c r="J19" s="13">
        <v>0.65277777777777779</v>
      </c>
      <c r="K19" s="12">
        <v>330</v>
      </c>
      <c r="L19" s="17">
        <f>121+38.6698/60</f>
        <v>121.64449666666667</v>
      </c>
      <c r="M19" s="17">
        <f>21+22.0858/60</f>
        <v>21.368096666666666</v>
      </c>
      <c r="N19" s="13">
        <v>0.6958333333333333</v>
      </c>
      <c r="O19" s="12">
        <v>270</v>
      </c>
      <c r="P19" s="17">
        <f>121+32.9779/60</f>
        <v>121.54963166666667</v>
      </c>
      <c r="Q19" s="17">
        <f>21+22.2692/60</f>
        <v>21.371153333333332</v>
      </c>
      <c r="R19" s="13"/>
      <c r="S19" s="12"/>
      <c r="T19" s="19"/>
      <c r="U19" s="19"/>
      <c r="V19" s="13"/>
      <c r="W19" s="12"/>
      <c r="X19" s="19"/>
      <c r="Y19" s="19"/>
    </row>
    <row r="20" spans="1:25" s="10" customFormat="1" ht="16.149999999999999" customHeight="1">
      <c r="A20" s="10" t="s">
        <v>69</v>
      </c>
      <c r="B20" s="11">
        <v>43680</v>
      </c>
      <c r="C20" s="10" t="s">
        <v>109</v>
      </c>
      <c r="E20" s="10" t="s">
        <v>72</v>
      </c>
      <c r="F20" s="10">
        <v>5</v>
      </c>
      <c r="G20" s="12"/>
      <c r="J20" s="13">
        <v>0.65277777777777779</v>
      </c>
      <c r="K20" s="12">
        <v>334</v>
      </c>
      <c r="L20" s="17">
        <f>121+38.659/60</f>
        <v>121.64431666666667</v>
      </c>
      <c r="M20" s="17">
        <f>21+22.1102/60</f>
        <v>21.368503333333333</v>
      </c>
      <c r="N20" s="13">
        <v>0.69513888888888886</v>
      </c>
      <c r="O20" s="12">
        <v>270</v>
      </c>
      <c r="P20" s="17">
        <f>121+33.1462/60</f>
        <v>121.55243666666667</v>
      </c>
      <c r="Q20" s="17">
        <f>21+22.2993/60</f>
        <v>21.371655000000001</v>
      </c>
      <c r="R20" s="13"/>
      <c r="S20" s="12"/>
      <c r="T20" s="19"/>
      <c r="U20" s="19"/>
      <c r="V20" s="13"/>
      <c r="W20" s="12"/>
      <c r="X20" s="19"/>
      <c r="Y20" s="19"/>
    </row>
    <row r="21" spans="1:25" s="10" customFormat="1" ht="16.149999999999999" customHeight="1">
      <c r="A21" s="10" t="s">
        <v>69</v>
      </c>
      <c r="B21" s="11">
        <v>43682</v>
      </c>
      <c r="C21" s="10" t="s">
        <v>110</v>
      </c>
      <c r="E21" s="10" t="s">
        <v>74</v>
      </c>
      <c r="F21" s="10">
        <v>6</v>
      </c>
      <c r="G21" s="12"/>
      <c r="J21" s="13">
        <v>0.43333333333333335</v>
      </c>
      <c r="K21" s="12">
        <v>62</v>
      </c>
      <c r="L21" s="17">
        <f>120+5.6312/60</f>
        <v>120.09385333333333</v>
      </c>
      <c r="M21" s="17">
        <f>22+20.4029/60</f>
        <v>22.340048333333332</v>
      </c>
      <c r="N21" s="13">
        <v>0.46597222222222223</v>
      </c>
      <c r="O21" s="12">
        <v>296</v>
      </c>
      <c r="P21" s="17">
        <f>120+7.2917/60</f>
        <v>120.12152833333333</v>
      </c>
      <c r="Q21" s="17">
        <f>22+17.4914/60</f>
        <v>22.291523333333334</v>
      </c>
      <c r="R21" s="13"/>
      <c r="S21" s="12"/>
      <c r="T21" s="19"/>
      <c r="U21" s="19"/>
      <c r="V21" s="13"/>
      <c r="W21" s="12"/>
      <c r="X21" s="19"/>
      <c r="Y21" s="19"/>
    </row>
    <row r="22" spans="1:25" s="10" customFormat="1" ht="16.149999999999999" customHeight="1">
      <c r="A22" s="10" t="s">
        <v>69</v>
      </c>
      <c r="B22" s="11">
        <v>43682</v>
      </c>
      <c r="C22" s="10" t="s">
        <v>111</v>
      </c>
      <c r="E22" s="10" t="s">
        <v>74</v>
      </c>
      <c r="F22" s="10">
        <v>8.6</v>
      </c>
      <c r="G22" s="12"/>
      <c r="J22" s="13">
        <v>0.55833333333333335</v>
      </c>
      <c r="K22" s="12">
        <v>19</v>
      </c>
      <c r="L22" s="17">
        <f>120+7.1919/60</f>
        <v>120.119865</v>
      </c>
      <c r="M22" s="17">
        <f>22+22.3839/60</f>
        <v>22.373065</v>
      </c>
      <c r="N22" s="13">
        <v>0.6</v>
      </c>
      <c r="O22" s="12">
        <v>28</v>
      </c>
      <c r="P22" s="17">
        <f>120+9.9581/60</f>
        <v>120.16596833333334</v>
      </c>
      <c r="Q22" s="17">
        <f>22+30.3451/60</f>
        <v>22.505751666666665</v>
      </c>
      <c r="R22" s="13"/>
      <c r="S22" s="12"/>
      <c r="T22" s="19"/>
      <c r="U22" s="19"/>
      <c r="V22" s="13"/>
      <c r="W22" s="12"/>
      <c r="X22" s="19"/>
      <c r="Y22" s="19"/>
    </row>
    <row r="23" spans="1:25" s="10" customFormat="1" ht="16.149999999999999" customHeight="1">
      <c r="A23" s="10" t="s">
        <v>83</v>
      </c>
      <c r="B23" s="11">
        <v>43771</v>
      </c>
      <c r="C23" s="10" t="s">
        <v>112</v>
      </c>
      <c r="D23" s="10" t="s">
        <v>10</v>
      </c>
      <c r="E23" s="10" t="s">
        <v>71</v>
      </c>
      <c r="F23" s="10">
        <v>9.3000000000000007</v>
      </c>
      <c r="G23" s="12"/>
      <c r="I23" s="10" t="s">
        <v>73</v>
      </c>
      <c r="J23" s="13">
        <v>0.4513888888888889</v>
      </c>
      <c r="K23" s="12">
        <v>261</v>
      </c>
      <c r="L23" s="17">
        <f>120+56.9906/60</f>
        <v>120.94984333333333</v>
      </c>
      <c r="M23" s="17">
        <f>25+5.6873/60</f>
        <v>25.094788333333334</v>
      </c>
      <c r="N23" s="13">
        <v>0.49305555555555558</v>
      </c>
      <c r="O23" s="12">
        <v>200</v>
      </c>
      <c r="P23" s="17">
        <f>120+47.7831/60</f>
        <v>120.796385</v>
      </c>
      <c r="Q23" s="17">
        <f>25+2.9359/60</f>
        <v>25.048931666666668</v>
      </c>
      <c r="R23" s="13">
        <v>0.49027777777777781</v>
      </c>
      <c r="S23" s="12">
        <v>200</v>
      </c>
      <c r="T23" s="17">
        <f>120+47.8579/60</f>
        <v>120.79763166666666</v>
      </c>
      <c r="U23" s="17">
        <f>25+3.12/60</f>
        <v>25.052</v>
      </c>
      <c r="V23" s="13"/>
      <c r="W23" s="12"/>
      <c r="X23" s="17"/>
      <c r="Y23" s="17"/>
    </row>
    <row r="24" spans="1:25" s="10" customFormat="1" ht="16.149999999999999" customHeight="1">
      <c r="A24" s="10" t="s">
        <v>83</v>
      </c>
      <c r="B24" s="11">
        <v>43771</v>
      </c>
      <c r="C24" s="10" t="s">
        <v>113</v>
      </c>
      <c r="D24" s="10" t="s">
        <v>23</v>
      </c>
      <c r="E24" s="10" t="s">
        <v>76</v>
      </c>
      <c r="F24" s="10">
        <v>10</v>
      </c>
      <c r="G24" s="12"/>
      <c r="J24" s="13">
        <v>0.4513888888888889</v>
      </c>
      <c r="K24" s="12">
        <v>261</v>
      </c>
      <c r="L24" s="17">
        <f>120+56.9571/60</f>
        <v>120.949285</v>
      </c>
      <c r="M24" s="17">
        <f>25+5.678/60</f>
        <v>25.094633333333334</v>
      </c>
      <c r="N24" s="13">
        <v>0.49305555555555558</v>
      </c>
      <c r="O24" s="12">
        <v>200</v>
      </c>
      <c r="P24" s="17">
        <f>120+47.769/60</f>
        <v>120.79615</v>
      </c>
      <c r="Q24" s="17">
        <f>25+2.9162/60</f>
        <v>25.048603333333332</v>
      </c>
      <c r="R24" s="13">
        <v>0.49027777777777781</v>
      </c>
      <c r="S24" s="12">
        <v>200</v>
      </c>
      <c r="T24" s="17">
        <f>120+47.8579/60</f>
        <v>120.79763166666666</v>
      </c>
      <c r="U24" s="17">
        <f>25+3.12/60</f>
        <v>25.052</v>
      </c>
      <c r="V24" s="13"/>
      <c r="W24" s="12"/>
      <c r="X24" s="17"/>
      <c r="Y24" s="17"/>
    </row>
    <row r="25" spans="1:25" s="10" customFormat="1" ht="16.149999999999999" customHeight="1">
      <c r="A25" s="10" t="s">
        <v>82</v>
      </c>
      <c r="B25" s="11">
        <v>43771</v>
      </c>
      <c r="C25" s="10" t="s">
        <v>114</v>
      </c>
      <c r="D25" s="10" t="s">
        <v>10</v>
      </c>
      <c r="E25" s="10" t="s">
        <v>77</v>
      </c>
      <c r="F25" s="10">
        <v>4.8</v>
      </c>
      <c r="G25" s="12"/>
      <c r="I25" s="10" t="s">
        <v>73</v>
      </c>
      <c r="J25" s="13">
        <v>0.49722222222222223</v>
      </c>
      <c r="K25" s="12">
        <v>191</v>
      </c>
      <c r="L25" s="17">
        <f>120+47.4791/60</f>
        <v>120.79131833333334</v>
      </c>
      <c r="M25" s="17">
        <f>25+2.3602/60</f>
        <v>25.039336666666667</v>
      </c>
      <c r="N25" s="13">
        <v>0.54027777777777775</v>
      </c>
      <c r="O25" s="12">
        <v>174</v>
      </c>
      <c r="P25" s="17">
        <f>120+47.141/60</f>
        <v>120.78568333333334</v>
      </c>
      <c r="Q25" s="17">
        <f>24+53.732/60</f>
        <v>24.895533333333333</v>
      </c>
      <c r="R25" s="18"/>
      <c r="T25" s="19"/>
      <c r="U25" s="19"/>
      <c r="V25" s="18"/>
      <c r="X25" s="19"/>
      <c r="Y25" s="19"/>
    </row>
    <row r="26" spans="1:25" s="10" customFormat="1" ht="16.149999999999999" customHeight="1">
      <c r="A26" s="10" t="s">
        <v>82</v>
      </c>
      <c r="B26" s="11">
        <v>43771</v>
      </c>
      <c r="C26" s="10" t="s">
        <v>115</v>
      </c>
      <c r="D26" s="10" t="s">
        <v>23</v>
      </c>
      <c r="E26" s="10" t="s">
        <v>78</v>
      </c>
      <c r="F26" s="10">
        <v>4.8</v>
      </c>
      <c r="G26" s="12"/>
      <c r="J26" s="13">
        <v>0.49652777777777773</v>
      </c>
      <c r="K26" s="12">
        <v>192</v>
      </c>
      <c r="L26" s="17">
        <f>120+47.5308/60</f>
        <v>120.79218</v>
      </c>
      <c r="M26" s="17">
        <f>25+2.452/60</f>
        <v>25.040866666666666</v>
      </c>
      <c r="N26" s="13">
        <v>0.54027777777777775</v>
      </c>
      <c r="O26" s="12">
        <v>174</v>
      </c>
      <c r="P26" s="17">
        <f>120+47.141/60</f>
        <v>120.78568333333334</v>
      </c>
      <c r="Q26" s="17">
        <f>24+53.732/60</f>
        <v>24.895533333333333</v>
      </c>
      <c r="R26" s="18"/>
      <c r="T26" s="19"/>
      <c r="U26" s="19"/>
      <c r="V26" s="18"/>
      <c r="X26" s="19"/>
      <c r="Y26" s="19"/>
    </row>
    <row r="27" spans="1:25" s="10" customFormat="1" ht="16.149999999999999" customHeight="1">
      <c r="A27" s="10" t="s">
        <v>82</v>
      </c>
      <c r="B27" s="11">
        <v>43771</v>
      </c>
      <c r="C27" s="10" t="s">
        <v>116</v>
      </c>
      <c r="D27" s="10" t="s">
        <v>10</v>
      </c>
      <c r="E27" s="10" t="s">
        <v>44</v>
      </c>
      <c r="F27" s="10">
        <v>4.8</v>
      </c>
      <c r="G27" s="12"/>
      <c r="I27" s="10" t="s">
        <v>73</v>
      </c>
      <c r="J27" s="13">
        <v>0.54027777777777775</v>
      </c>
      <c r="K27" s="12">
        <v>174</v>
      </c>
      <c r="L27" s="17">
        <f>120+47.141/60</f>
        <v>120.78568333333334</v>
      </c>
      <c r="M27" s="17">
        <f>24+53.732/60</f>
        <v>24.895533333333333</v>
      </c>
      <c r="N27" s="13">
        <v>0.58194444444444449</v>
      </c>
      <c r="O27" s="12">
        <v>209.9</v>
      </c>
      <c r="P27" s="17">
        <f>120+44.304/60</f>
        <v>120.7384</v>
      </c>
      <c r="Q27" s="17">
        <f>24+44.621/60</f>
        <v>24.743683333333333</v>
      </c>
      <c r="R27" s="18"/>
      <c r="T27" s="19"/>
      <c r="U27" s="19"/>
      <c r="V27" s="18"/>
      <c r="X27" s="19"/>
      <c r="Y27" s="19"/>
    </row>
    <row r="28" spans="1:25" s="10" customFormat="1" ht="16.149999999999999" customHeight="1">
      <c r="A28" s="10" t="s">
        <v>82</v>
      </c>
      <c r="B28" s="11">
        <v>43771</v>
      </c>
      <c r="C28" s="10" t="s">
        <v>117</v>
      </c>
      <c r="D28" s="10" t="s">
        <v>23</v>
      </c>
      <c r="E28" s="10" t="s">
        <v>84</v>
      </c>
      <c r="F28" s="10">
        <v>9.3000000000000007</v>
      </c>
      <c r="G28" s="12"/>
      <c r="J28" s="13">
        <v>0.54513888888888895</v>
      </c>
      <c r="K28" s="12">
        <v>177.9</v>
      </c>
      <c r="L28" s="17">
        <f>120+47.205/60</f>
        <v>120.78675</v>
      </c>
      <c r="M28" s="17">
        <f>24+52.8/60</f>
        <v>24.88</v>
      </c>
      <c r="N28" s="13">
        <v>0.58333333333333337</v>
      </c>
      <c r="O28" s="12">
        <v>211.6</v>
      </c>
      <c r="P28" s="17">
        <f>120+44.24/60</f>
        <v>120.73733333333334</v>
      </c>
      <c r="Q28" s="17">
        <f>24+44.562/60</f>
        <v>24.742699999999999</v>
      </c>
      <c r="R28" s="18"/>
      <c r="T28" s="19"/>
      <c r="U28" s="19"/>
      <c r="V28" s="18"/>
      <c r="X28" s="19"/>
      <c r="Y28" s="19"/>
    </row>
    <row r="29" spans="1:25" s="10" customFormat="1" ht="16.149999999999999" customHeight="1">
      <c r="A29" s="10" t="s">
        <v>82</v>
      </c>
      <c r="B29" s="11">
        <v>43771</v>
      </c>
      <c r="C29" s="10" t="s">
        <v>118</v>
      </c>
      <c r="D29" s="10" t="s">
        <v>10</v>
      </c>
      <c r="E29" s="10" t="s">
        <v>80</v>
      </c>
      <c r="F29" s="10">
        <v>9.6999999999999993</v>
      </c>
      <c r="G29" s="12"/>
      <c r="I29" s="10" t="s">
        <v>73</v>
      </c>
      <c r="J29" s="13">
        <v>0.58194444444444449</v>
      </c>
      <c r="K29" s="12">
        <v>212.5</v>
      </c>
      <c r="L29" s="17">
        <f>120+44.209/60</f>
        <v>120.73681666666667</v>
      </c>
      <c r="M29" s="17">
        <f>24+44.461/60</f>
        <v>24.741016666666667</v>
      </c>
      <c r="N29" s="13">
        <v>0.62708333333333333</v>
      </c>
      <c r="O29" s="12">
        <v>209.6</v>
      </c>
      <c r="P29" s="17">
        <f>120+38.833/60</f>
        <v>120.64721666666667</v>
      </c>
      <c r="Q29" s="17">
        <f>24+36.439/60</f>
        <v>24.607316666666666</v>
      </c>
      <c r="R29" s="18"/>
      <c r="T29" s="19"/>
      <c r="U29" s="19"/>
      <c r="V29" s="18"/>
      <c r="X29" s="19"/>
      <c r="Y29" s="19"/>
    </row>
    <row r="30" spans="1:25" s="10" customFormat="1" ht="16.149999999999999" customHeight="1">
      <c r="A30" s="10" t="s">
        <v>82</v>
      </c>
      <c r="B30" s="11">
        <v>43771</v>
      </c>
      <c r="C30" s="10" t="s">
        <v>119</v>
      </c>
      <c r="D30" s="10" t="s">
        <v>23</v>
      </c>
      <c r="E30" s="10" t="s">
        <v>79</v>
      </c>
      <c r="F30" s="10">
        <v>9.8000000000000007</v>
      </c>
      <c r="G30" s="12"/>
      <c r="J30" s="13">
        <v>0.58333333333333337</v>
      </c>
      <c r="K30" s="12">
        <v>212.5</v>
      </c>
      <c r="L30" s="17">
        <f>120+44.175/60</f>
        <v>120.73625</v>
      </c>
      <c r="M30" s="17">
        <f>24+44.409/60</f>
        <v>24.74015</v>
      </c>
      <c r="N30" s="13">
        <v>0.62777777777777777</v>
      </c>
      <c r="O30" s="12">
        <v>213</v>
      </c>
      <c r="P30" s="17">
        <f>120+38.697/60</f>
        <v>120.64494999999999</v>
      </c>
      <c r="Q30" s="17">
        <f>24+36.207/60</f>
        <v>24.603449999999999</v>
      </c>
      <c r="R30" s="18"/>
      <c r="T30" s="19"/>
      <c r="U30" s="19"/>
      <c r="V30" s="18"/>
      <c r="X30" s="19"/>
      <c r="Y30" s="19"/>
    </row>
    <row r="31" spans="1:25" s="10" customFormat="1" ht="15" customHeight="1">
      <c r="A31" s="10" t="s">
        <v>82</v>
      </c>
      <c r="B31" s="11">
        <v>43771</v>
      </c>
      <c r="C31" s="10" t="s">
        <v>120</v>
      </c>
      <c r="D31" s="10" t="s">
        <v>10</v>
      </c>
      <c r="E31" s="10" t="s">
        <v>81</v>
      </c>
      <c r="F31" s="10">
        <v>8.6</v>
      </c>
      <c r="G31" s="12"/>
      <c r="I31" s="10" t="s">
        <v>73</v>
      </c>
      <c r="J31" s="13">
        <v>0.62777777777777777</v>
      </c>
      <c r="K31" s="12">
        <v>208.9</v>
      </c>
      <c r="L31" s="17">
        <f>120+38.744/60</f>
        <v>120.64573333333334</v>
      </c>
      <c r="M31" s="17">
        <f>24+36.274/60</f>
        <v>24.604566666666667</v>
      </c>
      <c r="N31" s="13">
        <v>0.6694444444444444</v>
      </c>
      <c r="O31" s="12">
        <v>217.7</v>
      </c>
      <c r="P31" s="17">
        <f>120+33.249/60</f>
        <v>120.55415000000001</v>
      </c>
      <c r="Q31" s="17">
        <f>24+28.452/60</f>
        <v>24.4742</v>
      </c>
      <c r="R31" s="18"/>
      <c r="T31" s="19"/>
      <c r="U31" s="19"/>
      <c r="V31" s="18"/>
      <c r="X31" s="19"/>
      <c r="Y31" s="19"/>
    </row>
    <row r="32" spans="1:25" s="10" customFormat="1" ht="15" customHeight="1">
      <c r="A32" s="10" t="s">
        <v>82</v>
      </c>
      <c r="B32" s="11">
        <v>43771</v>
      </c>
      <c r="C32" s="10" t="s">
        <v>121</v>
      </c>
      <c r="D32" s="10" t="s">
        <v>23</v>
      </c>
      <c r="E32" s="10" t="s">
        <v>79</v>
      </c>
      <c r="F32" s="10">
        <v>9</v>
      </c>
      <c r="G32" s="12"/>
      <c r="J32" s="13">
        <v>0.62916666666666665</v>
      </c>
      <c r="K32" s="12">
        <v>212.9</v>
      </c>
      <c r="L32" s="17">
        <f>120+38.605/60</f>
        <v>120.64341666666667</v>
      </c>
      <c r="M32" s="17">
        <f>24+36.069/60</f>
        <v>24.601150000000001</v>
      </c>
      <c r="N32" s="13">
        <v>0.66666666666666663</v>
      </c>
      <c r="O32" s="12">
        <v>216.8</v>
      </c>
      <c r="P32" s="17">
        <f>120+33.702/60</f>
        <v>120.5617</v>
      </c>
      <c r="Q32" s="17">
        <f>24+29.028/60</f>
        <v>24.483799999999999</v>
      </c>
      <c r="R32" s="18"/>
      <c r="T32" s="19"/>
      <c r="U32" s="19"/>
      <c r="V32" s="18"/>
      <c r="X32" s="19"/>
      <c r="Y32" s="19"/>
    </row>
    <row r="33" spans="1:25" s="10" customFormat="1" ht="15" customHeight="1">
      <c r="A33" s="10" t="s">
        <v>82</v>
      </c>
      <c r="B33" s="11">
        <v>43771</v>
      </c>
      <c r="C33" s="10" t="s">
        <v>122</v>
      </c>
      <c r="D33" s="10" t="s">
        <v>23</v>
      </c>
      <c r="E33" s="10" t="s">
        <v>79</v>
      </c>
      <c r="F33" s="10">
        <v>9.1999999999999993</v>
      </c>
      <c r="G33" s="12"/>
      <c r="J33" s="13">
        <v>0.66875000000000007</v>
      </c>
      <c r="K33" s="12">
        <v>217.8</v>
      </c>
      <c r="L33" s="17">
        <f>120+33.618/60</f>
        <v>120.5603</v>
      </c>
      <c r="M33" s="17">
        <f>24+26.92/60</f>
        <v>24.448666666666668</v>
      </c>
      <c r="N33" s="13">
        <v>0.72152777777777777</v>
      </c>
      <c r="O33" s="12">
        <v>212.1</v>
      </c>
      <c r="P33" s="17">
        <f>120+27.04/60</f>
        <v>120.45066666666666</v>
      </c>
      <c r="Q33" s="17">
        <f>24+19.592/60</f>
        <v>24.326533333333334</v>
      </c>
      <c r="R33" s="18"/>
      <c r="T33" s="19"/>
      <c r="U33" s="19"/>
      <c r="V33" s="18"/>
      <c r="X33" s="19"/>
      <c r="Y33" s="19"/>
    </row>
    <row r="34" spans="1:25" s="10" customFormat="1" ht="15" customHeight="1">
      <c r="A34" s="10" t="s">
        <v>82</v>
      </c>
      <c r="B34" s="11">
        <v>43772</v>
      </c>
      <c r="C34" s="10" t="s">
        <v>123</v>
      </c>
      <c r="D34" s="10" t="s">
        <v>10</v>
      </c>
      <c r="E34" s="10" t="s">
        <v>44</v>
      </c>
      <c r="F34" s="10">
        <v>8</v>
      </c>
      <c r="G34" s="12"/>
      <c r="I34" s="10" t="s">
        <v>73</v>
      </c>
      <c r="J34" s="13">
        <v>0.6694444444444444</v>
      </c>
      <c r="K34" s="12">
        <v>30.5</v>
      </c>
      <c r="L34" s="17">
        <f>120+7.044/60</f>
        <v>120.1174</v>
      </c>
      <c r="M34" s="17">
        <f>22+21.058/60</f>
        <v>22.350966666666668</v>
      </c>
      <c r="N34" s="13">
        <v>0.71111111111111114</v>
      </c>
      <c r="O34" s="12">
        <v>27.9</v>
      </c>
      <c r="P34" s="17">
        <f>120+11.538/60</f>
        <v>120.1923</v>
      </c>
      <c r="Q34" s="17">
        <f>22+27.771/60</f>
        <v>22.46285</v>
      </c>
      <c r="R34" s="18"/>
      <c r="T34" s="19"/>
      <c r="U34" s="19"/>
      <c r="V34" s="18"/>
      <c r="X34" s="19"/>
      <c r="Y34" s="19"/>
    </row>
    <row r="35" spans="1:25" s="10" customFormat="1" ht="15" customHeight="1">
      <c r="A35" s="10" t="s">
        <v>82</v>
      </c>
      <c r="B35" s="11">
        <v>43772</v>
      </c>
      <c r="C35" s="10" t="s">
        <v>124</v>
      </c>
      <c r="D35" s="10" t="s">
        <v>23</v>
      </c>
      <c r="E35" s="10" t="s">
        <v>75</v>
      </c>
      <c r="F35" s="10">
        <v>7.8</v>
      </c>
      <c r="G35" s="12"/>
      <c r="J35" s="13">
        <v>0.6694444444444444</v>
      </c>
      <c r="K35" s="12">
        <v>32</v>
      </c>
      <c r="L35" s="17">
        <f>120+7.0935/60</f>
        <v>120.118225</v>
      </c>
      <c r="M35" s="17">
        <f>22+21.13/60</f>
        <v>22.352166666666665</v>
      </c>
      <c r="N35" s="13">
        <v>0.71111111111111114</v>
      </c>
      <c r="O35" s="12">
        <v>25.1</v>
      </c>
      <c r="P35" s="17">
        <f>120+11.652/60</f>
        <v>120.1942</v>
      </c>
      <c r="Q35" s="17">
        <f>22+27.995/60</f>
        <v>22.466583333333332</v>
      </c>
      <c r="R35" s="18"/>
      <c r="T35" s="19"/>
      <c r="U35" s="19"/>
      <c r="V35" s="18"/>
      <c r="X35" s="19"/>
      <c r="Y35" s="19"/>
    </row>
    <row r="36" spans="1:25" s="10" customFormat="1" ht="15" customHeight="1">
      <c r="A36" s="10" t="s">
        <v>82</v>
      </c>
      <c r="B36" s="11">
        <v>43772</v>
      </c>
      <c r="C36" s="10" t="s">
        <v>125</v>
      </c>
      <c r="D36" s="10" t="s">
        <v>10</v>
      </c>
      <c r="E36" s="10" t="s">
        <v>44</v>
      </c>
      <c r="F36" s="10">
        <v>7.6</v>
      </c>
      <c r="G36" s="12"/>
      <c r="I36" s="10" t="s">
        <v>73</v>
      </c>
      <c r="J36" s="13">
        <v>0.71111111111111114</v>
      </c>
      <c r="K36" s="12">
        <v>27.9</v>
      </c>
      <c r="L36" s="17">
        <f>120+11.538/60</f>
        <v>120.1923</v>
      </c>
      <c r="M36" s="17">
        <f>22+27.771/60</f>
        <v>22.46285</v>
      </c>
      <c r="N36" s="13">
        <v>0.75138888888888899</v>
      </c>
      <c r="O36" s="12">
        <v>74.7</v>
      </c>
      <c r="P36" s="17">
        <f>120+17.486/60</f>
        <v>120.29143333333333</v>
      </c>
      <c r="Q36" s="17">
        <f>22+32.794/60</f>
        <v>22.546566666666667</v>
      </c>
      <c r="R36" s="18"/>
      <c r="T36" s="19"/>
      <c r="U36" s="19"/>
      <c r="V36" s="18"/>
      <c r="X36" s="19"/>
      <c r="Y36" s="19"/>
    </row>
    <row r="37" spans="1:25" s="10" customFormat="1" ht="15" customHeight="1">
      <c r="A37" s="10" t="s">
        <v>82</v>
      </c>
      <c r="B37" s="11">
        <v>43772</v>
      </c>
      <c r="C37" s="10" t="s">
        <v>126</v>
      </c>
      <c r="D37" s="10" t="s">
        <v>23</v>
      </c>
      <c r="E37" s="10" t="s">
        <v>75</v>
      </c>
      <c r="F37" s="10">
        <v>7.6</v>
      </c>
      <c r="G37" s="12"/>
      <c r="J37" s="13">
        <v>0.71250000000000002</v>
      </c>
      <c r="K37" s="12">
        <v>25.3</v>
      </c>
      <c r="L37" s="17">
        <f>120+11.729/60</f>
        <v>120.19548333333333</v>
      </c>
      <c r="M37" s="17">
        <f>22+28.141/60</f>
        <v>22.469016666666668</v>
      </c>
      <c r="N37" s="13">
        <v>0.74444444444444446</v>
      </c>
      <c r="O37" s="12">
        <v>72.099999999999994</v>
      </c>
      <c r="P37" s="17">
        <f>120+16.126/60</f>
        <v>120.26876666666666</v>
      </c>
      <c r="Q37" s="17">
        <f>22+32.313/60</f>
        <v>22.538550000000001</v>
      </c>
      <c r="R37" s="18"/>
      <c r="T37" s="19"/>
      <c r="U37" s="19"/>
      <c r="V37" s="18"/>
      <c r="X37" s="19"/>
      <c r="Y37" s="19"/>
    </row>
    <row r="38" spans="1:25" s="10" customFormat="1" ht="16.149999999999999" customHeight="1">
      <c r="A38" s="10" t="s">
        <v>9</v>
      </c>
      <c r="B38" s="11">
        <v>44146</v>
      </c>
      <c r="C38" s="10" t="s">
        <v>127</v>
      </c>
      <c r="D38" s="10" t="s">
        <v>10</v>
      </c>
      <c r="E38" s="10" t="s">
        <v>72</v>
      </c>
      <c r="F38" s="10">
        <v>9.1999999999999993</v>
      </c>
      <c r="G38" s="12" t="s">
        <v>11</v>
      </c>
      <c r="H38" s="10">
        <v>0</v>
      </c>
      <c r="J38" s="13">
        <v>0.52500000000000002</v>
      </c>
      <c r="K38" s="12">
        <v>254.6</v>
      </c>
      <c r="L38" s="17">
        <f>120+8.195/60</f>
        <v>120.13658333333333</v>
      </c>
      <c r="M38" s="17">
        <f>22+37.212/60</f>
        <v>22.620200000000001</v>
      </c>
      <c r="N38" s="13">
        <v>0.54722222222222217</v>
      </c>
      <c r="O38" s="12">
        <v>252.5</v>
      </c>
      <c r="P38" s="17">
        <f>120+5.285/60</f>
        <v>120.08808333333333</v>
      </c>
      <c r="Q38" s="17">
        <f>22+36.452/60</f>
        <v>22.607533333333333</v>
      </c>
    </row>
    <row r="39" spans="1:25" s="10" customFormat="1" ht="16.149999999999999" customHeight="1">
      <c r="A39" s="10" t="s">
        <v>9</v>
      </c>
      <c r="B39" s="11">
        <v>44147</v>
      </c>
      <c r="C39" s="10" t="s">
        <v>128</v>
      </c>
      <c r="D39" s="10" t="s">
        <v>23</v>
      </c>
      <c r="E39" s="10" t="s">
        <v>72</v>
      </c>
      <c r="F39" s="10">
        <v>5</v>
      </c>
      <c r="G39" s="12" t="s">
        <v>24</v>
      </c>
      <c r="H39" s="10">
        <v>50</v>
      </c>
      <c r="I39" s="10" t="s">
        <v>25</v>
      </c>
      <c r="J39" s="13">
        <v>0.34027777777777773</v>
      </c>
      <c r="K39" s="12">
        <v>96</v>
      </c>
      <c r="L39" s="17">
        <f>120+21.644/60</f>
        <v>120.36073333333333</v>
      </c>
      <c r="M39" s="17">
        <f>22+18.8095/60</f>
        <v>22.313491666666668</v>
      </c>
      <c r="N39" s="13">
        <v>0.37986111111111115</v>
      </c>
      <c r="O39" s="12">
        <v>12</v>
      </c>
      <c r="P39" s="17">
        <f>120+22.032/60</f>
        <v>120.3672</v>
      </c>
      <c r="Q39" s="17">
        <f>22+16.577/60</f>
        <v>22.276283333333332</v>
      </c>
      <c r="R39" s="18">
        <v>0.34375</v>
      </c>
      <c r="S39" s="10">
        <v>193</v>
      </c>
      <c r="T39" s="19">
        <f>120+21.994/60</f>
        <v>120.36656666666667</v>
      </c>
      <c r="U39" s="19">
        <f>22+18.697/60</f>
        <v>22.311616666666666</v>
      </c>
      <c r="V39" s="18"/>
      <c r="X39" s="19"/>
      <c r="Y39" s="19"/>
    </row>
    <row r="40" spans="1:25" s="10" customFormat="1" ht="16.149999999999999" customHeight="1">
      <c r="A40" s="10" t="s">
        <v>9</v>
      </c>
      <c r="B40" s="11">
        <v>44149</v>
      </c>
      <c r="C40" s="10" t="s">
        <v>129</v>
      </c>
      <c r="D40" s="10" t="s">
        <v>10</v>
      </c>
      <c r="E40" s="10" t="s">
        <v>26</v>
      </c>
      <c r="F40" s="10">
        <v>11.2</v>
      </c>
      <c r="G40" s="12" t="s">
        <v>27</v>
      </c>
      <c r="H40" s="10">
        <v>100</v>
      </c>
      <c r="J40" s="13">
        <v>0.46597222222222223</v>
      </c>
      <c r="K40" s="12">
        <v>152</v>
      </c>
      <c r="L40" s="17">
        <f>120+11.445/60</f>
        <v>120.19074999999999</v>
      </c>
      <c r="M40" s="17">
        <f>22+34553/60</f>
        <v>597.88333333333333</v>
      </c>
      <c r="N40" s="13">
        <v>0.50763888888888886</v>
      </c>
      <c r="O40" s="12">
        <v>143.69999999999999</v>
      </c>
      <c r="P40" s="17">
        <f>120+16.277/60</f>
        <v>120.27128333333333</v>
      </c>
      <c r="Q40" s="17">
        <f>22+23.804/60</f>
        <v>22.396733333333334</v>
      </c>
      <c r="R40" s="18"/>
      <c r="T40" s="19"/>
      <c r="U40" s="19"/>
      <c r="V40" s="18"/>
      <c r="X40" s="19"/>
      <c r="Y40" s="19"/>
    </row>
    <row r="41" spans="1:25" s="10" customFormat="1" ht="16.149999999999999" customHeight="1">
      <c r="A41" s="10" t="s">
        <v>9</v>
      </c>
      <c r="B41" s="11">
        <v>44150</v>
      </c>
      <c r="C41" s="10" t="s">
        <v>130</v>
      </c>
      <c r="D41" s="10" t="s">
        <v>23</v>
      </c>
      <c r="E41" s="10" t="s">
        <v>72</v>
      </c>
      <c r="F41" s="10">
        <v>2</v>
      </c>
      <c r="G41" s="12" t="s">
        <v>28</v>
      </c>
      <c r="H41" s="10">
        <v>25</v>
      </c>
      <c r="I41" s="10" t="s">
        <v>29</v>
      </c>
      <c r="J41" s="13">
        <v>0.65277777777777779</v>
      </c>
      <c r="K41" s="12">
        <v>177</v>
      </c>
      <c r="L41" s="17">
        <f>119+59.963/60</f>
        <v>119.99938333333333</v>
      </c>
      <c r="M41" s="17">
        <f>22+14.55/60</f>
        <v>22.2425</v>
      </c>
      <c r="N41" s="13">
        <v>0.67499999999999993</v>
      </c>
      <c r="O41" s="12">
        <v>351</v>
      </c>
      <c r="P41" s="17">
        <f>119+59.945/60</f>
        <v>119.99908333333333</v>
      </c>
      <c r="Q41" s="17">
        <f>22+13.846/60</f>
        <v>22.230766666666668</v>
      </c>
      <c r="R41" s="18">
        <v>0.66666666666666663</v>
      </c>
      <c r="S41" s="20">
        <v>177</v>
      </c>
      <c r="T41" s="19">
        <f>120+0.048/60</f>
        <v>120.0008</v>
      </c>
      <c r="U41" s="19">
        <f>22+13.84/60</f>
        <v>22.230666666666668</v>
      </c>
      <c r="V41" s="18"/>
      <c r="X41" s="19"/>
      <c r="Y41" s="19"/>
    </row>
    <row r="42" spans="1:25" s="10" customFormat="1" ht="16.149999999999999" customHeight="1">
      <c r="A42" s="10" t="s">
        <v>41</v>
      </c>
      <c r="B42" s="11">
        <v>44211</v>
      </c>
      <c r="C42" s="10" t="s">
        <v>131</v>
      </c>
      <c r="D42" s="10" t="s">
        <v>23</v>
      </c>
      <c r="E42" s="10" t="s">
        <v>42</v>
      </c>
      <c r="F42" s="10">
        <v>11.2</v>
      </c>
      <c r="G42" s="12" t="s">
        <v>43</v>
      </c>
      <c r="H42" s="10">
        <v>3</v>
      </c>
      <c r="J42" s="13">
        <v>0.53194444444444444</v>
      </c>
      <c r="K42" s="12">
        <v>112.8</v>
      </c>
      <c r="L42" s="17">
        <f>121+49.701/60</f>
        <v>121.82835</v>
      </c>
      <c r="M42" s="17">
        <f>25+11.708/60</f>
        <v>25.195133333333334</v>
      </c>
      <c r="N42" s="13">
        <v>0.57291666666666663</v>
      </c>
      <c r="O42" s="12">
        <v>148.19999999999999</v>
      </c>
      <c r="P42" s="17">
        <f>121+59.1095/60</f>
        <v>121.98515833333333</v>
      </c>
      <c r="Q42" s="17">
        <f>25+5.8638/60</f>
        <v>25.097729999999999</v>
      </c>
      <c r="R42" s="18">
        <v>0.56180555555555556</v>
      </c>
      <c r="S42" s="10">
        <v>148</v>
      </c>
      <c r="T42" s="19">
        <f>121+56.83/60</f>
        <v>121.94716666666666</v>
      </c>
      <c r="U42" s="19">
        <f>25+8.91/60</f>
        <v>25.148499999999999</v>
      </c>
      <c r="V42" s="18"/>
      <c r="X42" s="19"/>
      <c r="Y42" s="19"/>
    </row>
    <row r="43" spans="1:25" s="10" customFormat="1" ht="16.149999999999999" customHeight="1">
      <c r="A43" s="10" t="s">
        <v>41</v>
      </c>
      <c r="B43" s="11">
        <v>44211</v>
      </c>
      <c r="C43" s="10" t="s">
        <v>132</v>
      </c>
      <c r="D43" s="10" t="s">
        <v>10</v>
      </c>
      <c r="E43" s="10" t="s">
        <v>45</v>
      </c>
      <c r="F43" s="10">
        <v>11.7</v>
      </c>
      <c r="G43" s="12" t="s">
        <v>43</v>
      </c>
      <c r="I43" s="10" t="s">
        <v>46</v>
      </c>
      <c r="J43" s="13">
        <v>0.57638888888888895</v>
      </c>
      <c r="K43" s="12">
        <v>148.1</v>
      </c>
      <c r="L43" s="17">
        <f>121+59.5332/60</f>
        <v>121.99222</v>
      </c>
      <c r="M43" s="17">
        <f>25+5.2305/60</f>
        <v>25.087174999999998</v>
      </c>
      <c r="N43" s="13">
        <v>0.60625000000000007</v>
      </c>
      <c r="O43" s="12">
        <v>148</v>
      </c>
      <c r="P43" s="17">
        <f>122+4.6432/60</f>
        <v>122.07738666666667</v>
      </c>
      <c r="Q43" s="17">
        <f>24+57.4818/60</f>
        <v>24.958030000000001</v>
      </c>
      <c r="R43" s="18"/>
      <c r="T43" s="19"/>
      <c r="U43" s="19"/>
      <c r="V43" s="18"/>
      <c r="X43" s="19"/>
      <c r="Y43" s="19"/>
    </row>
    <row r="44" spans="1:25" s="10" customFormat="1" ht="16.149999999999999" customHeight="1">
      <c r="A44" s="10" t="s">
        <v>41</v>
      </c>
      <c r="B44" s="11">
        <v>44212</v>
      </c>
      <c r="C44" s="10" t="s">
        <v>133</v>
      </c>
      <c r="D44" s="10" t="s">
        <v>23</v>
      </c>
      <c r="E44" s="10" t="s">
        <v>72</v>
      </c>
      <c r="F44" s="10">
        <v>8</v>
      </c>
      <c r="G44" s="12" t="s">
        <v>47</v>
      </c>
      <c r="H44" s="10">
        <v>20</v>
      </c>
      <c r="I44" s="10" t="s">
        <v>55</v>
      </c>
      <c r="J44" s="13">
        <v>0.31736111111111115</v>
      </c>
      <c r="K44" s="12">
        <v>181.2</v>
      </c>
      <c r="L44" s="17">
        <f>122+9.819/60</f>
        <v>122.16365</v>
      </c>
      <c r="M44" s="17">
        <f>24+16.802/60</f>
        <v>24.280033333333332</v>
      </c>
      <c r="N44" s="13">
        <v>0.35555555555555557</v>
      </c>
      <c r="O44" s="12">
        <v>177</v>
      </c>
      <c r="P44" s="17">
        <f>122+9.641/60</f>
        <v>122.16068333333334</v>
      </c>
      <c r="Q44" s="17">
        <f>24+8.902/60</f>
        <v>24.148366666666668</v>
      </c>
      <c r="R44" s="18"/>
      <c r="T44" s="19"/>
      <c r="U44" s="19"/>
      <c r="V44" s="18"/>
      <c r="X44" s="19"/>
      <c r="Y44" s="19"/>
    </row>
    <row r="45" spans="1:25" s="10" customFormat="1" ht="16.149999999999999" customHeight="1">
      <c r="A45" s="10" t="s">
        <v>41</v>
      </c>
      <c r="B45" s="11">
        <v>44212</v>
      </c>
      <c r="C45" s="10" t="s">
        <v>134</v>
      </c>
      <c r="D45" s="10" t="s">
        <v>10</v>
      </c>
      <c r="E45" s="10" t="s">
        <v>56</v>
      </c>
      <c r="F45" s="10">
        <v>10.9</v>
      </c>
      <c r="G45" s="12" t="s">
        <v>57</v>
      </c>
      <c r="H45" s="10">
        <v>70</v>
      </c>
      <c r="I45" s="10" t="s">
        <v>58</v>
      </c>
      <c r="J45" s="13">
        <v>0.66180555555555554</v>
      </c>
      <c r="K45" s="12">
        <v>242.9</v>
      </c>
      <c r="L45" s="17">
        <f>121+54.6816/60</f>
        <v>121.91136</v>
      </c>
      <c r="M45" s="17">
        <f>24+2.359/60</f>
        <v>24.039316666666668</v>
      </c>
      <c r="N45" s="13">
        <v>0.70833333333333337</v>
      </c>
      <c r="O45" s="12">
        <v>256.7</v>
      </c>
      <c r="P45" s="17">
        <f>121+42.1455/60</f>
        <v>121.70242500000001</v>
      </c>
      <c r="Q45" s="17">
        <f>23+58.2857/60</f>
        <v>23.971428333333332</v>
      </c>
      <c r="R45" s="18"/>
      <c r="T45" s="19"/>
      <c r="U45" s="19"/>
      <c r="V45" s="18"/>
      <c r="X45" s="19"/>
      <c r="Y45" s="19"/>
    </row>
    <row r="46" spans="1:25" s="10" customFormat="1" ht="16.149999999999999" customHeight="1">
      <c r="A46" s="10" t="s">
        <v>59</v>
      </c>
      <c r="B46" s="11">
        <v>44216</v>
      </c>
      <c r="C46" s="10" t="s">
        <v>135</v>
      </c>
      <c r="D46" s="10" t="s">
        <v>23</v>
      </c>
      <c r="E46" s="10" t="s">
        <v>72</v>
      </c>
      <c r="F46" s="10">
        <v>8.8000000000000007</v>
      </c>
      <c r="G46" s="12" t="s">
        <v>60</v>
      </c>
      <c r="H46" s="10">
        <v>90</v>
      </c>
      <c r="I46" s="10" t="s">
        <v>61</v>
      </c>
      <c r="J46" s="13">
        <v>0.62013888888888891</v>
      </c>
      <c r="K46" s="12">
        <v>148.30000000000001</v>
      </c>
      <c r="L46" s="17">
        <f>122+45.206/60</f>
        <v>122.75343333333333</v>
      </c>
      <c r="M46" s="17">
        <f>22+21.24/60</f>
        <v>22.353999999999999</v>
      </c>
      <c r="N46" s="13">
        <v>0.66249999999999998</v>
      </c>
      <c r="O46" s="12">
        <v>144.80000000000001</v>
      </c>
      <c r="P46" s="17">
        <f>122+50.026/60</f>
        <v>122.83376666666666</v>
      </c>
      <c r="Q46" s="17">
        <f>22+13.637/60</f>
        <v>22.227283333333332</v>
      </c>
      <c r="R46" s="18"/>
      <c r="T46" s="19"/>
      <c r="U46" s="19"/>
      <c r="V46" s="18"/>
      <c r="X46" s="19"/>
      <c r="Y46" s="19"/>
    </row>
    <row r="47" spans="1:25" s="10" customFormat="1" ht="16.149999999999999" customHeight="1">
      <c r="A47" s="10" t="s">
        <v>59</v>
      </c>
      <c r="B47" s="11">
        <v>44217</v>
      </c>
      <c r="C47" s="10" t="s">
        <v>136</v>
      </c>
      <c r="D47" s="10" t="s">
        <v>23</v>
      </c>
      <c r="E47" s="10" t="s">
        <v>63</v>
      </c>
      <c r="F47" s="10">
        <v>9</v>
      </c>
      <c r="G47" s="12" t="s">
        <v>64</v>
      </c>
      <c r="H47" s="10">
        <v>100</v>
      </c>
      <c r="J47" s="13">
        <v>0.52638888888888891</v>
      </c>
      <c r="K47" s="12">
        <v>138</v>
      </c>
      <c r="L47" s="17">
        <f>124+26.249/60</f>
        <v>124.43748333333333</v>
      </c>
      <c r="M47" s="17">
        <f>20+29.981/60</f>
        <v>20.499683333333333</v>
      </c>
      <c r="N47" s="13">
        <v>0.56805555555555554</v>
      </c>
      <c r="O47" s="12">
        <v>138</v>
      </c>
      <c r="P47" s="17">
        <f>124+33.224/60</f>
        <v>124.55373333333333</v>
      </c>
      <c r="Q47" s="17">
        <f>20+22.828/60</f>
        <v>20.380466666666667</v>
      </c>
      <c r="R47" s="18"/>
      <c r="T47" s="19"/>
      <c r="U47" s="19"/>
      <c r="V47" s="18"/>
      <c r="X47" s="19"/>
      <c r="Y47" s="19"/>
    </row>
    <row r="48" spans="1:25" s="10" customFormat="1" ht="16.149999999999999" customHeight="1">
      <c r="A48" s="10" t="s">
        <v>59</v>
      </c>
      <c r="B48" s="11">
        <v>44217</v>
      </c>
      <c r="C48" s="10" t="s">
        <v>137</v>
      </c>
      <c r="D48" s="10" t="s">
        <v>10</v>
      </c>
      <c r="E48" s="10" t="s">
        <v>65</v>
      </c>
      <c r="F48" s="10">
        <v>10</v>
      </c>
      <c r="G48" s="12" t="s">
        <v>66</v>
      </c>
      <c r="H48" s="10">
        <v>30</v>
      </c>
      <c r="J48" s="13">
        <v>0.58750000000000002</v>
      </c>
      <c r="K48" s="12">
        <v>136.4</v>
      </c>
      <c r="L48" s="17">
        <f>124+36.559/60</f>
        <v>124.60931666666667</v>
      </c>
      <c r="M48" s="17">
        <f>20+19.423/60</f>
        <v>20.323716666666666</v>
      </c>
      <c r="N48" s="13">
        <v>0.62013888888888891</v>
      </c>
      <c r="O48" s="12">
        <v>145.5</v>
      </c>
      <c r="P48" s="17">
        <f>124+41.951/60</f>
        <v>124.69918333333334</v>
      </c>
      <c r="Q48" s="17">
        <f>20+13.876/60</f>
        <v>20.231266666666667</v>
      </c>
      <c r="R48" s="18"/>
      <c r="T48" s="19"/>
      <c r="U48" s="19"/>
      <c r="V48" s="18"/>
      <c r="X48" s="19"/>
      <c r="Y48" s="19"/>
    </row>
    <row r="49" spans="1:25" s="10" customFormat="1" ht="16.149999999999999" customHeight="1">
      <c r="A49" s="10" t="s">
        <v>59</v>
      </c>
      <c r="B49" s="11">
        <v>44218</v>
      </c>
      <c r="C49" s="10" t="s">
        <v>138</v>
      </c>
      <c r="D49" s="10" t="s">
        <v>23</v>
      </c>
      <c r="E49" s="10" t="s">
        <v>72</v>
      </c>
      <c r="F49" s="10">
        <v>9.8000000000000007</v>
      </c>
      <c r="G49" s="12" t="s">
        <v>67</v>
      </c>
      <c r="H49" s="10">
        <v>80</v>
      </c>
      <c r="J49" s="13">
        <v>0.45694444444444443</v>
      </c>
      <c r="K49" s="12">
        <v>132.5</v>
      </c>
      <c r="L49" s="17">
        <v>126.18418</v>
      </c>
      <c r="M49" s="17">
        <f>18+57.701/60</f>
        <v>18.961683333333333</v>
      </c>
      <c r="N49" s="13">
        <v>0.47500000000000003</v>
      </c>
      <c r="O49" s="12">
        <v>132</v>
      </c>
      <c r="P49" s="17">
        <v>126.18147999999999</v>
      </c>
      <c r="Q49" s="17">
        <f>18+54.833/60</f>
        <v>18.913883333333334</v>
      </c>
      <c r="R49" s="18"/>
      <c r="T49" s="19"/>
      <c r="U49" s="19"/>
      <c r="V49" s="18"/>
      <c r="X49" s="19"/>
      <c r="Y49" s="19"/>
    </row>
    <row r="50" spans="1:25" s="10" customFormat="1" ht="16.149999999999999" customHeight="1">
      <c r="A50" s="10" t="s">
        <v>59</v>
      </c>
      <c r="B50" s="11">
        <v>44218</v>
      </c>
      <c r="C50" s="10" t="s">
        <v>139</v>
      </c>
      <c r="D50" s="10" t="s">
        <v>10</v>
      </c>
      <c r="E50" s="10" t="s">
        <v>72</v>
      </c>
      <c r="F50" s="10">
        <v>10.5</v>
      </c>
      <c r="G50" s="12" t="s">
        <v>68</v>
      </c>
      <c r="H50" s="10">
        <v>60</v>
      </c>
      <c r="J50" s="13">
        <v>0.54722222222222217</v>
      </c>
      <c r="K50" s="12">
        <v>133</v>
      </c>
      <c r="L50" s="17">
        <f>126+23.198/60</f>
        <v>126.38663333333334</v>
      </c>
      <c r="M50" s="17">
        <f>18+43.75/60</f>
        <v>18.729166666666668</v>
      </c>
      <c r="N50" s="13">
        <v>0.58750000000000002</v>
      </c>
      <c r="O50" s="12">
        <v>130.5</v>
      </c>
      <c r="P50" s="17">
        <f>126+30.887/60</f>
        <v>126.51478333333333</v>
      </c>
      <c r="Q50" s="17">
        <f>18+37.297/60</f>
        <v>18.621616666666668</v>
      </c>
      <c r="R50" s="18"/>
      <c r="T50" s="19"/>
      <c r="U50" s="19"/>
      <c r="V50" s="18"/>
      <c r="X50" s="19"/>
      <c r="Y50" s="19"/>
    </row>
    <row r="51" spans="1:25" s="10" customFormat="1" ht="16.149999999999999" customHeight="1">
      <c r="A51" s="10" t="s">
        <v>59</v>
      </c>
      <c r="B51" s="11">
        <v>44219</v>
      </c>
      <c r="C51" s="10" t="s">
        <v>141</v>
      </c>
      <c r="D51" s="10" t="s">
        <v>23</v>
      </c>
      <c r="E51" s="10" t="s">
        <v>72</v>
      </c>
      <c r="F51" s="10">
        <v>11.5</v>
      </c>
      <c r="G51" s="12" t="s">
        <v>66</v>
      </c>
      <c r="H51" s="10">
        <v>10</v>
      </c>
      <c r="I51" s="10" t="s">
        <v>87</v>
      </c>
      <c r="J51" s="13">
        <v>0.33680555555555558</v>
      </c>
      <c r="K51" s="12">
        <v>293.5</v>
      </c>
      <c r="L51" s="17">
        <f>125+39.944/60</f>
        <v>125.66573333333334</v>
      </c>
      <c r="M51" s="17">
        <f>18+29.206/60</f>
        <v>18.486766666666668</v>
      </c>
      <c r="N51" s="13">
        <v>0.38055555555555554</v>
      </c>
      <c r="O51" s="12">
        <v>293.7</v>
      </c>
      <c r="P51" s="17">
        <f>125+28.4/60</f>
        <v>125.47333333333333</v>
      </c>
      <c r="Q51" s="17">
        <f>18+33.612/60</f>
        <v>18.560200000000002</v>
      </c>
      <c r="R51" s="18"/>
      <c r="T51" s="19"/>
      <c r="U51" s="19"/>
      <c r="V51" s="18"/>
      <c r="X51" s="19"/>
      <c r="Y51" s="19"/>
    </row>
    <row r="52" spans="1:25" s="10" customFormat="1" ht="16.149999999999999" customHeight="1">
      <c r="A52" s="10" t="s">
        <v>59</v>
      </c>
      <c r="B52" s="11">
        <v>44219</v>
      </c>
      <c r="C52" s="10" t="s">
        <v>142</v>
      </c>
      <c r="D52" s="10" t="s">
        <v>10</v>
      </c>
      <c r="E52" s="10" t="s">
        <v>88</v>
      </c>
      <c r="F52" s="10">
        <v>11.5</v>
      </c>
      <c r="G52" s="12" t="s">
        <v>89</v>
      </c>
      <c r="H52" s="10">
        <v>20</v>
      </c>
      <c r="J52" s="13">
        <v>0.38125000000000003</v>
      </c>
      <c r="K52" s="12">
        <v>289</v>
      </c>
      <c r="L52" s="17">
        <f>125+28.261/60</f>
        <v>125.47101666666667</v>
      </c>
      <c r="M52" s="17">
        <f>18+33.653/60</f>
        <v>18.560883333333333</v>
      </c>
      <c r="N52" s="13" t="s">
        <v>158</v>
      </c>
      <c r="O52" s="12">
        <v>294</v>
      </c>
      <c r="P52" s="17">
        <f>125+17.401/60</f>
        <v>125.29001666666667</v>
      </c>
      <c r="Q52" s="17">
        <f>18+37.688/60</f>
        <v>18.628133333333334</v>
      </c>
      <c r="R52" s="18"/>
      <c r="T52" s="19"/>
      <c r="U52" s="19"/>
      <c r="V52" s="18"/>
      <c r="X52" s="19"/>
      <c r="Y52" s="19"/>
    </row>
    <row r="53" spans="1:25" s="10" customFormat="1" ht="16.149999999999999" customHeight="1">
      <c r="A53" s="10" t="s">
        <v>59</v>
      </c>
      <c r="B53" s="11">
        <v>44219</v>
      </c>
      <c r="C53" s="10" t="s">
        <v>143</v>
      </c>
      <c r="D53" s="10" t="s">
        <v>23</v>
      </c>
      <c r="E53" s="10" t="s">
        <v>72</v>
      </c>
      <c r="F53" s="10">
        <v>12</v>
      </c>
      <c r="G53" s="12" t="s">
        <v>89</v>
      </c>
      <c r="H53" s="10">
        <v>20</v>
      </c>
      <c r="J53" s="13">
        <v>0.44444444444444442</v>
      </c>
      <c r="K53" s="12">
        <v>293</v>
      </c>
      <c r="L53" s="17">
        <f>125+11.348/60</f>
        <v>125.18913333333333</v>
      </c>
      <c r="M53" s="17">
        <f>18+39.854/60</f>
        <v>18.664233333333332</v>
      </c>
      <c r="N53" s="13">
        <v>0.47916666666666669</v>
      </c>
      <c r="O53" s="12">
        <v>196</v>
      </c>
      <c r="P53" s="17">
        <f>125+1.489/60</f>
        <v>125.02481666666667</v>
      </c>
      <c r="Q53" s="17">
        <f>18+43.559/60</f>
        <v>18.725983333333332</v>
      </c>
      <c r="R53" s="18"/>
      <c r="T53" s="19"/>
      <c r="U53" s="19"/>
      <c r="V53" s="18"/>
      <c r="X53" s="19"/>
      <c r="Y53" s="19"/>
    </row>
    <row r="54" spans="1:25" s="10" customFormat="1" ht="16.149999999999999" customHeight="1">
      <c r="A54" s="10" t="s">
        <v>59</v>
      </c>
      <c r="B54" s="11">
        <v>44219</v>
      </c>
      <c r="C54" s="10" t="s">
        <v>144</v>
      </c>
      <c r="D54" s="10" t="s">
        <v>10</v>
      </c>
      <c r="E54" s="10" t="s">
        <v>56</v>
      </c>
      <c r="F54" s="10">
        <v>11.5</v>
      </c>
      <c r="G54" s="12"/>
      <c r="J54" s="13">
        <v>0.53611111111111109</v>
      </c>
      <c r="K54" s="12">
        <v>293</v>
      </c>
      <c r="L54" s="17">
        <f>124+46.474/60</f>
        <v>124.77456666666667</v>
      </c>
      <c r="M54" s="17">
        <f>18+51.525/60</f>
        <v>18.858750000000001</v>
      </c>
      <c r="N54" s="13">
        <v>0.57916666666666672</v>
      </c>
      <c r="O54" s="12">
        <v>293</v>
      </c>
      <c r="P54" s="17">
        <f>124+34.277/60</f>
        <v>124.57128333333333</v>
      </c>
      <c r="Q54" s="17">
        <f>18+57.1397/60</f>
        <v>18.952328333333334</v>
      </c>
      <c r="R54" s="18"/>
      <c r="T54" s="19"/>
      <c r="U54" s="19"/>
      <c r="V54" s="18"/>
      <c r="X54" s="19"/>
      <c r="Y54" s="19"/>
    </row>
    <row r="55" spans="1:25" s="10" customFormat="1" ht="16.149999999999999" customHeight="1">
      <c r="A55" s="10" t="s">
        <v>59</v>
      </c>
      <c r="B55" s="11">
        <v>44219</v>
      </c>
      <c r="C55" s="10" t="s">
        <v>145</v>
      </c>
      <c r="D55" s="10" t="s">
        <v>23</v>
      </c>
      <c r="E55" s="10" t="s">
        <v>72</v>
      </c>
      <c r="F55" s="10">
        <v>11</v>
      </c>
      <c r="G55" s="12"/>
      <c r="I55" s="10" t="s">
        <v>90</v>
      </c>
      <c r="J55" s="13">
        <v>0.64444444444444449</v>
      </c>
      <c r="K55" s="12">
        <v>287.60000000000002</v>
      </c>
      <c r="L55" s="17">
        <f>124+16.201/60</f>
        <v>124.27001666666666</v>
      </c>
      <c r="M55" s="17">
        <f>19+4.073/60</f>
        <v>19.067883333333334</v>
      </c>
      <c r="N55" s="13">
        <v>0.67847222222222225</v>
      </c>
      <c r="O55" s="12">
        <v>297.60000000000002</v>
      </c>
      <c r="P55" s="17">
        <f>124+7.416/60</f>
        <v>124.1236</v>
      </c>
      <c r="Q55" s="17">
        <f>19+7.769/60</f>
        <v>19.129483333333333</v>
      </c>
      <c r="R55" s="18"/>
      <c r="T55" s="19"/>
      <c r="U55" s="19"/>
      <c r="V55" s="18"/>
      <c r="X55" s="19"/>
      <c r="Y55" s="19"/>
    </row>
    <row r="56" spans="1:25" s="10" customFormat="1" ht="16.149999999999999" customHeight="1">
      <c r="A56" s="10" t="s">
        <v>59</v>
      </c>
      <c r="B56" s="11">
        <v>44219</v>
      </c>
      <c r="C56" s="10" t="s">
        <v>146</v>
      </c>
      <c r="D56" s="10" t="s">
        <v>10</v>
      </c>
      <c r="E56" s="10" t="s">
        <v>72</v>
      </c>
      <c r="F56" s="10">
        <v>11</v>
      </c>
      <c r="G56" s="12"/>
      <c r="J56" s="13"/>
      <c r="K56" s="12"/>
      <c r="L56" s="17"/>
      <c r="M56" s="17"/>
      <c r="R56" s="18"/>
      <c r="T56" s="19"/>
      <c r="U56" s="19"/>
      <c r="V56" s="18"/>
      <c r="X56" s="19"/>
      <c r="Y56" s="19"/>
    </row>
    <row r="66" spans="11:11">
      <c r="K66">
        <f>18+50.6/60</f>
        <v>18.843333333333334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5"/>
  <sheetViews>
    <sheetView tabSelected="1" topLeftCell="A118" workbookViewId="0">
      <selection activeCell="H134" sqref="H134"/>
    </sheetView>
  </sheetViews>
  <sheetFormatPr defaultRowHeight="15.75"/>
  <cols>
    <col min="1" max="1" width="14.5703125" style="1" bestFit="1" customWidth="1"/>
    <col min="2" max="2" width="16" style="1" customWidth="1"/>
    <col min="3" max="3" width="10.28515625" style="1" bestFit="1" customWidth="1"/>
    <col min="4" max="4" width="8.42578125" style="1" bestFit="1" customWidth="1"/>
    <col min="5" max="5" width="23.42578125" style="24" customWidth="1"/>
    <col min="6" max="6" width="7.140625" style="1" bestFit="1" customWidth="1"/>
    <col min="7" max="7" width="23.7109375" style="24" customWidth="1"/>
  </cols>
  <sheetData>
    <row r="1" spans="1:13" s="5" customFormat="1" ht="18.75" customHeight="1">
      <c r="A1" s="3" t="s">
        <v>5</v>
      </c>
      <c r="B1" s="3" t="s">
        <v>0</v>
      </c>
      <c r="C1" s="3" t="s">
        <v>8</v>
      </c>
      <c r="D1" s="6" t="s">
        <v>1</v>
      </c>
      <c r="E1" s="27" t="s">
        <v>2</v>
      </c>
      <c r="F1" s="8" t="s">
        <v>7</v>
      </c>
      <c r="G1" s="29" t="s">
        <v>3</v>
      </c>
      <c r="H1" s="4"/>
      <c r="I1" s="4"/>
      <c r="J1" s="3"/>
      <c r="K1" s="6"/>
      <c r="L1" s="7"/>
      <c r="M1" s="6"/>
    </row>
    <row r="2" spans="1:13">
      <c r="A2" s="10" t="s">
        <v>159</v>
      </c>
      <c r="B2" s="11">
        <v>43674</v>
      </c>
      <c r="C2" s="10" t="s">
        <v>160</v>
      </c>
      <c r="D2" s="1" t="s">
        <v>169</v>
      </c>
      <c r="E2" s="24" t="s">
        <v>170</v>
      </c>
      <c r="F2" s="1">
        <v>1</v>
      </c>
    </row>
    <row r="3" spans="1:13">
      <c r="A3" s="10" t="s">
        <v>159</v>
      </c>
      <c r="B3" s="11">
        <v>43674</v>
      </c>
      <c r="C3" s="10" t="s">
        <v>160</v>
      </c>
      <c r="D3" s="1" t="s">
        <v>50</v>
      </c>
      <c r="E3" s="24" t="s">
        <v>171</v>
      </c>
      <c r="F3" s="1">
        <v>2</v>
      </c>
      <c r="G3" s="24">
        <v>3782</v>
      </c>
    </row>
    <row r="4" spans="1:13">
      <c r="A4" s="10" t="s">
        <v>159</v>
      </c>
      <c r="B4" s="11">
        <v>43674</v>
      </c>
      <c r="C4" s="10" t="s">
        <v>160</v>
      </c>
      <c r="D4" s="1" t="s">
        <v>205</v>
      </c>
      <c r="E4" s="24" t="s">
        <v>175</v>
      </c>
      <c r="F4" s="1">
        <v>2</v>
      </c>
    </row>
    <row r="5" spans="1:13">
      <c r="A5" s="10" t="s">
        <v>159</v>
      </c>
      <c r="B5" s="11">
        <v>43674</v>
      </c>
      <c r="C5" s="10" t="s">
        <v>160</v>
      </c>
      <c r="D5" s="1" t="s">
        <v>163</v>
      </c>
      <c r="E5" s="24" t="s">
        <v>164</v>
      </c>
      <c r="F5" s="1">
        <v>6</v>
      </c>
    </row>
    <row r="6" spans="1:13">
      <c r="A6" s="10" t="s">
        <v>159</v>
      </c>
      <c r="B6" s="11">
        <v>43674</v>
      </c>
      <c r="C6" s="10" t="s">
        <v>160</v>
      </c>
      <c r="D6" s="1" t="s">
        <v>166</v>
      </c>
      <c r="E6" s="24" t="s">
        <v>165</v>
      </c>
      <c r="F6" s="1">
        <v>75</v>
      </c>
    </row>
    <row r="7" spans="1:13">
      <c r="A7" s="10" t="s">
        <v>159</v>
      </c>
      <c r="B7" s="11">
        <v>43674</v>
      </c>
      <c r="C7" s="10" t="s">
        <v>160</v>
      </c>
      <c r="D7" s="1" t="s">
        <v>166</v>
      </c>
      <c r="E7" s="24" t="s">
        <v>53</v>
      </c>
      <c r="F7" s="1">
        <v>1</v>
      </c>
    </row>
    <row r="8" spans="1:13">
      <c r="A8" s="10" t="s">
        <v>159</v>
      </c>
      <c r="B8" s="11">
        <v>43674</v>
      </c>
      <c r="C8" s="10" t="s">
        <v>160</v>
      </c>
      <c r="D8" s="1" t="s">
        <v>161</v>
      </c>
      <c r="E8" s="24" t="s">
        <v>162</v>
      </c>
      <c r="F8" s="1">
        <v>14</v>
      </c>
    </row>
    <row r="9" spans="1:13">
      <c r="A9" s="10" t="s">
        <v>159</v>
      </c>
      <c r="B9" s="11">
        <v>43674</v>
      </c>
      <c r="C9" s="10" t="s">
        <v>160</v>
      </c>
      <c r="D9" s="1" t="s">
        <v>168</v>
      </c>
      <c r="E9" s="24" t="s">
        <v>167</v>
      </c>
      <c r="F9" s="1">
        <v>5</v>
      </c>
    </row>
    <row r="10" spans="1:13">
      <c r="A10" s="10" t="s">
        <v>159</v>
      </c>
      <c r="B10" s="11">
        <v>43674</v>
      </c>
      <c r="C10" s="10" t="s">
        <v>160</v>
      </c>
      <c r="D10" s="1" t="s">
        <v>172</v>
      </c>
      <c r="E10" s="24" t="s">
        <v>174</v>
      </c>
      <c r="F10" s="1">
        <v>1</v>
      </c>
    </row>
    <row r="11" spans="1:13">
      <c r="A11" s="10" t="s">
        <v>159</v>
      </c>
      <c r="B11" s="11">
        <v>43674</v>
      </c>
      <c r="C11" s="10" t="s">
        <v>160</v>
      </c>
      <c r="D11" s="1" t="s">
        <v>172</v>
      </c>
      <c r="E11" s="24" t="s">
        <v>173</v>
      </c>
      <c r="F11" s="1">
        <v>9</v>
      </c>
    </row>
    <row r="12" spans="1:13">
      <c r="A12" s="10" t="s">
        <v>159</v>
      </c>
      <c r="B12" s="11">
        <v>43674</v>
      </c>
      <c r="C12" s="10" t="s">
        <v>176</v>
      </c>
      <c r="D12" s="1" t="s">
        <v>177</v>
      </c>
      <c r="E12" s="24" t="s">
        <v>178</v>
      </c>
      <c r="F12" s="1">
        <v>2</v>
      </c>
    </row>
    <row r="13" spans="1:13">
      <c r="A13" s="10" t="s">
        <v>159</v>
      </c>
      <c r="B13" s="11">
        <v>43674</v>
      </c>
      <c r="C13" s="10" t="s">
        <v>176</v>
      </c>
      <c r="D13" s="1" t="s">
        <v>184</v>
      </c>
      <c r="E13" s="24" t="s">
        <v>183</v>
      </c>
      <c r="F13" s="1">
        <v>1</v>
      </c>
    </row>
    <row r="14" spans="1:13">
      <c r="A14" s="10" t="s">
        <v>159</v>
      </c>
      <c r="B14" s="11">
        <v>43674</v>
      </c>
      <c r="C14" s="10" t="s">
        <v>176</v>
      </c>
      <c r="D14" s="1" t="s">
        <v>187</v>
      </c>
      <c r="E14" s="24" t="s">
        <v>269</v>
      </c>
      <c r="F14" s="23"/>
      <c r="G14" s="24" t="s">
        <v>250</v>
      </c>
    </row>
    <row r="15" spans="1:13">
      <c r="A15" s="10" t="s">
        <v>159</v>
      </c>
      <c r="B15" s="11">
        <v>43674</v>
      </c>
      <c r="C15" s="10" t="s">
        <v>176</v>
      </c>
      <c r="D15" s="1" t="s">
        <v>179</v>
      </c>
      <c r="E15" s="24" t="s">
        <v>181</v>
      </c>
      <c r="F15" s="1">
        <v>13</v>
      </c>
    </row>
    <row r="16" spans="1:13">
      <c r="A16" s="10" t="s">
        <v>159</v>
      </c>
      <c r="B16" s="11">
        <v>43674</v>
      </c>
      <c r="C16" s="10" t="s">
        <v>176</v>
      </c>
      <c r="D16" s="1" t="s">
        <v>179</v>
      </c>
      <c r="E16" s="24" t="s">
        <v>180</v>
      </c>
      <c r="F16" s="1">
        <f>21+3+4+1+8+2+13+21+13+40+1</f>
        <v>127</v>
      </c>
    </row>
    <row r="17" spans="1:7">
      <c r="A17" s="10" t="s">
        <v>159</v>
      </c>
      <c r="B17" s="11">
        <v>43674</v>
      </c>
      <c r="C17" s="10" t="s">
        <v>176</v>
      </c>
      <c r="D17" s="1" t="s">
        <v>179</v>
      </c>
      <c r="E17" s="24" t="s">
        <v>182</v>
      </c>
      <c r="F17" s="1">
        <v>1</v>
      </c>
    </row>
    <row r="18" spans="1:7">
      <c r="A18" s="10" t="s">
        <v>159</v>
      </c>
      <c r="B18" s="11">
        <v>43674</v>
      </c>
      <c r="C18" s="10" t="s">
        <v>176</v>
      </c>
      <c r="D18" s="1" t="s">
        <v>172</v>
      </c>
      <c r="E18" s="24" t="s">
        <v>185</v>
      </c>
      <c r="F18" s="1">
        <v>3</v>
      </c>
      <c r="G18" s="24" t="s">
        <v>186</v>
      </c>
    </row>
    <row r="19" spans="1:7">
      <c r="A19" s="10" t="s">
        <v>159</v>
      </c>
      <c r="B19" s="11">
        <v>43674</v>
      </c>
      <c r="C19" s="10" t="s">
        <v>188</v>
      </c>
      <c r="D19" s="1" t="s">
        <v>172</v>
      </c>
      <c r="E19" s="24" t="s">
        <v>174</v>
      </c>
      <c r="F19" s="1">
        <v>4</v>
      </c>
      <c r="G19" s="24" t="s">
        <v>190</v>
      </c>
    </row>
    <row r="20" spans="1:7">
      <c r="A20" s="10" t="s">
        <v>159</v>
      </c>
      <c r="B20" s="11">
        <v>43674</v>
      </c>
      <c r="C20" s="10" t="s">
        <v>188</v>
      </c>
      <c r="D20" s="1" t="s">
        <v>172</v>
      </c>
      <c r="E20" s="24" t="s">
        <v>189</v>
      </c>
      <c r="F20" s="1">
        <v>2</v>
      </c>
    </row>
    <row r="21" spans="1:7">
      <c r="A21" s="10" t="s">
        <v>159</v>
      </c>
      <c r="B21" s="11">
        <v>43674</v>
      </c>
      <c r="C21" s="10" t="s">
        <v>191</v>
      </c>
      <c r="D21" s="1" t="s">
        <v>192</v>
      </c>
      <c r="E21" s="24" t="s">
        <v>54</v>
      </c>
      <c r="F21" s="1">
        <v>1</v>
      </c>
    </row>
    <row r="22" spans="1:7">
      <c r="A22" s="10" t="s">
        <v>159</v>
      </c>
      <c r="B22" s="11">
        <v>43674</v>
      </c>
      <c r="C22" s="10" t="s">
        <v>191</v>
      </c>
      <c r="D22" s="1" t="s">
        <v>195</v>
      </c>
      <c r="E22" s="24" t="s">
        <v>196</v>
      </c>
      <c r="F22" s="1">
        <v>4</v>
      </c>
    </row>
    <row r="23" spans="1:7">
      <c r="A23" s="10" t="s">
        <v>159</v>
      </c>
      <c r="B23" s="11">
        <v>43674</v>
      </c>
      <c r="C23" s="10" t="s">
        <v>191</v>
      </c>
      <c r="D23" s="1" t="s">
        <v>193</v>
      </c>
      <c r="E23" s="24" t="s">
        <v>194</v>
      </c>
      <c r="F23" s="1">
        <v>1</v>
      </c>
    </row>
    <row r="24" spans="1:7">
      <c r="A24" s="10" t="s">
        <v>159</v>
      </c>
      <c r="B24" s="11">
        <v>43674</v>
      </c>
      <c r="C24" s="10" t="s">
        <v>197</v>
      </c>
      <c r="D24" s="1" t="s">
        <v>205</v>
      </c>
      <c r="E24" s="24" t="s">
        <v>259</v>
      </c>
      <c r="F24" s="1">
        <v>1</v>
      </c>
    </row>
    <row r="25" spans="1:7">
      <c r="A25" s="10" t="s">
        <v>159</v>
      </c>
      <c r="B25" s="11">
        <v>43674</v>
      </c>
      <c r="C25" s="10" t="s">
        <v>197</v>
      </c>
      <c r="D25" s="1" t="s">
        <v>203</v>
      </c>
      <c r="E25" s="24" t="s">
        <v>204</v>
      </c>
      <c r="F25" s="1">
        <v>11</v>
      </c>
    </row>
    <row r="26" spans="1:7">
      <c r="A26" s="10" t="s">
        <v>159</v>
      </c>
      <c r="B26" s="11">
        <v>43674</v>
      </c>
      <c r="C26" s="10" t="s">
        <v>197</v>
      </c>
      <c r="D26" s="1" t="s">
        <v>205</v>
      </c>
      <c r="E26" s="24" t="s">
        <v>209</v>
      </c>
      <c r="F26" s="23"/>
    </row>
    <row r="27" spans="1:7">
      <c r="A27" s="10" t="s">
        <v>159</v>
      </c>
      <c r="B27" s="11">
        <v>43674</v>
      </c>
      <c r="C27" s="10" t="s">
        <v>197</v>
      </c>
      <c r="D27" s="1" t="s">
        <v>205</v>
      </c>
      <c r="E27" s="24" t="s">
        <v>206</v>
      </c>
      <c r="F27" s="1">
        <v>1</v>
      </c>
    </row>
    <row r="28" spans="1:7">
      <c r="A28" s="10" t="s">
        <v>159</v>
      </c>
      <c r="B28" s="11">
        <v>43674</v>
      </c>
      <c r="C28" s="10" t="s">
        <v>197</v>
      </c>
      <c r="D28" s="1" t="s">
        <v>161</v>
      </c>
      <c r="E28" s="24" t="s">
        <v>198</v>
      </c>
      <c r="F28" s="1">
        <v>6</v>
      </c>
    </row>
    <row r="29" spans="1:7">
      <c r="A29" s="10" t="s">
        <v>159</v>
      </c>
      <c r="B29" s="11">
        <v>43674</v>
      </c>
      <c r="C29" s="10" t="s">
        <v>197</v>
      </c>
      <c r="D29" s="1" t="s">
        <v>201</v>
      </c>
      <c r="E29" s="24" t="s">
        <v>202</v>
      </c>
      <c r="F29" s="1">
        <v>1</v>
      </c>
    </row>
    <row r="30" spans="1:7">
      <c r="A30" s="10" t="s">
        <v>159</v>
      </c>
      <c r="B30" s="11">
        <v>43674</v>
      </c>
      <c r="C30" s="10" t="s">
        <v>197</v>
      </c>
      <c r="D30" s="1" t="s">
        <v>161</v>
      </c>
      <c r="E30" s="24" t="s">
        <v>199</v>
      </c>
      <c r="F30" s="1">
        <v>4</v>
      </c>
    </row>
    <row r="31" spans="1:7">
      <c r="A31" s="10" t="s">
        <v>159</v>
      </c>
      <c r="B31" s="11">
        <v>43674</v>
      </c>
      <c r="C31" s="10" t="s">
        <v>197</v>
      </c>
      <c r="D31" s="1" t="s">
        <v>207</v>
      </c>
      <c r="E31" s="24" t="s">
        <v>196</v>
      </c>
      <c r="F31" s="1">
        <v>2</v>
      </c>
      <c r="G31" s="24" t="s">
        <v>208</v>
      </c>
    </row>
    <row r="32" spans="1:7">
      <c r="A32" s="10" t="s">
        <v>159</v>
      </c>
      <c r="B32" s="11">
        <v>43674</v>
      </c>
      <c r="C32" s="10" t="s">
        <v>210</v>
      </c>
      <c r="D32" s="1" t="s">
        <v>211</v>
      </c>
      <c r="E32" s="24" t="s">
        <v>213</v>
      </c>
      <c r="F32" s="1">
        <v>1</v>
      </c>
      <c r="G32" s="24" t="s">
        <v>214</v>
      </c>
    </row>
    <row r="33" spans="1:7">
      <c r="A33" s="10" t="s">
        <v>159</v>
      </c>
      <c r="B33" s="11">
        <v>43674</v>
      </c>
      <c r="C33" s="10" t="s">
        <v>210</v>
      </c>
      <c r="D33" s="1" t="s">
        <v>218</v>
      </c>
      <c r="E33" s="24" t="s">
        <v>272</v>
      </c>
      <c r="F33" s="1">
        <v>27</v>
      </c>
    </row>
    <row r="34" spans="1:7">
      <c r="A34" s="10" t="s">
        <v>159</v>
      </c>
      <c r="B34" s="11">
        <v>43674</v>
      </c>
      <c r="C34" s="10" t="s">
        <v>210</v>
      </c>
      <c r="D34" s="1" t="s">
        <v>50</v>
      </c>
      <c r="E34" s="24" t="s">
        <v>270</v>
      </c>
      <c r="F34" s="1">
        <v>1</v>
      </c>
    </row>
    <row r="35" spans="1:7">
      <c r="A35" s="10" t="s">
        <v>159</v>
      </c>
      <c r="B35" s="11">
        <v>43674</v>
      </c>
      <c r="C35" s="10" t="s">
        <v>210</v>
      </c>
      <c r="D35" s="1" t="s">
        <v>50</v>
      </c>
      <c r="E35" s="24" t="s">
        <v>85</v>
      </c>
      <c r="F35" s="1">
        <v>9</v>
      </c>
    </row>
    <row r="36" spans="1:7">
      <c r="A36" s="10" t="s">
        <v>159</v>
      </c>
      <c r="B36" s="11">
        <v>43674</v>
      </c>
      <c r="C36" s="10" t="s">
        <v>210</v>
      </c>
      <c r="D36" s="1" t="s">
        <v>205</v>
      </c>
      <c r="E36" s="24" t="s">
        <v>222</v>
      </c>
      <c r="F36" s="1">
        <v>62</v>
      </c>
      <c r="G36" s="24" t="s">
        <v>223</v>
      </c>
    </row>
    <row r="37" spans="1:7">
      <c r="A37" s="10" t="s">
        <v>159</v>
      </c>
      <c r="B37" s="11">
        <v>43674</v>
      </c>
      <c r="C37" s="10" t="s">
        <v>210</v>
      </c>
      <c r="D37" s="1" t="s">
        <v>200</v>
      </c>
      <c r="E37" s="24" t="s">
        <v>221</v>
      </c>
      <c r="F37" s="1">
        <v>1</v>
      </c>
    </row>
    <row r="38" spans="1:7">
      <c r="A38" s="10" t="s">
        <v>159</v>
      </c>
      <c r="B38" s="11">
        <v>43674</v>
      </c>
      <c r="C38" s="10" t="s">
        <v>210</v>
      </c>
      <c r="D38" s="1" t="s">
        <v>220</v>
      </c>
      <c r="E38" s="24" t="s">
        <v>219</v>
      </c>
      <c r="F38" s="1">
        <v>2</v>
      </c>
    </row>
    <row r="39" spans="1:7">
      <c r="A39" s="10" t="s">
        <v>159</v>
      </c>
      <c r="B39" s="11">
        <v>43674</v>
      </c>
      <c r="C39" s="10" t="s">
        <v>210</v>
      </c>
      <c r="D39" s="1" t="s">
        <v>215</v>
      </c>
      <c r="E39" s="24" t="s">
        <v>216</v>
      </c>
      <c r="F39" s="1">
        <v>1</v>
      </c>
    </row>
    <row r="40" spans="1:7">
      <c r="A40" s="10" t="s">
        <v>159</v>
      </c>
      <c r="B40" s="11">
        <v>43674</v>
      </c>
      <c r="C40" s="10" t="s">
        <v>210</v>
      </c>
      <c r="D40" s="1" t="s">
        <v>161</v>
      </c>
      <c r="E40" s="24" t="s">
        <v>165</v>
      </c>
      <c r="F40" s="1">
        <v>2</v>
      </c>
    </row>
    <row r="41" spans="1:7">
      <c r="A41" s="10" t="s">
        <v>159</v>
      </c>
      <c r="B41" s="11">
        <v>43674</v>
      </c>
      <c r="C41" s="10" t="s">
        <v>210</v>
      </c>
      <c r="D41" s="1" t="s">
        <v>217</v>
      </c>
      <c r="E41" s="24" t="s">
        <v>54</v>
      </c>
      <c r="F41" s="1">
        <v>5</v>
      </c>
    </row>
    <row r="42" spans="1:7">
      <c r="A42" s="10" t="s">
        <v>159</v>
      </c>
      <c r="B42" s="11">
        <v>43675</v>
      </c>
      <c r="C42" s="10" t="s">
        <v>224</v>
      </c>
      <c r="D42" s="1" t="s">
        <v>229</v>
      </c>
      <c r="E42" s="24" t="s">
        <v>228</v>
      </c>
      <c r="F42" s="1">
        <v>1</v>
      </c>
    </row>
    <row r="43" spans="1:7">
      <c r="A43" s="10" t="s">
        <v>159</v>
      </c>
      <c r="B43" s="11">
        <v>43675</v>
      </c>
      <c r="C43" s="10" t="s">
        <v>224</v>
      </c>
      <c r="D43" s="1" t="s">
        <v>50</v>
      </c>
      <c r="E43" s="24" t="s">
        <v>85</v>
      </c>
      <c r="F43" s="1">
        <v>1</v>
      </c>
    </row>
    <row r="44" spans="1:7">
      <c r="A44" s="10" t="s">
        <v>159</v>
      </c>
      <c r="B44" s="11">
        <v>43675</v>
      </c>
      <c r="C44" s="10" t="s">
        <v>224</v>
      </c>
      <c r="D44" s="1" t="s">
        <v>226</v>
      </c>
      <c r="E44" s="24" t="s">
        <v>227</v>
      </c>
      <c r="F44" s="1">
        <v>1</v>
      </c>
    </row>
    <row r="45" spans="1:7">
      <c r="A45" s="10" t="s">
        <v>159</v>
      </c>
      <c r="B45" s="11">
        <v>43675</v>
      </c>
      <c r="C45" s="10" t="s">
        <v>224</v>
      </c>
      <c r="D45" s="1" t="s">
        <v>192</v>
      </c>
      <c r="E45" s="24" t="s">
        <v>225</v>
      </c>
      <c r="F45" s="1">
        <v>3</v>
      </c>
    </row>
    <row r="46" spans="1:7">
      <c r="A46" s="10" t="s">
        <v>159</v>
      </c>
      <c r="B46" s="11">
        <v>43675</v>
      </c>
      <c r="C46" s="10" t="s">
        <v>224</v>
      </c>
      <c r="D46" s="1" t="s">
        <v>172</v>
      </c>
      <c r="E46" s="24" t="s">
        <v>231</v>
      </c>
      <c r="F46" s="1">
        <v>1</v>
      </c>
    </row>
    <row r="47" spans="1:7">
      <c r="A47" s="10" t="s">
        <v>159</v>
      </c>
      <c r="B47" s="11">
        <v>43675</v>
      </c>
      <c r="C47" s="10" t="s">
        <v>224</v>
      </c>
      <c r="D47" s="1" t="s">
        <v>230</v>
      </c>
      <c r="E47" s="24" t="s">
        <v>52</v>
      </c>
      <c r="F47" s="1">
        <v>2</v>
      </c>
    </row>
    <row r="48" spans="1:7">
      <c r="A48" s="10" t="s">
        <v>159</v>
      </c>
      <c r="B48" s="11">
        <v>43675</v>
      </c>
      <c r="C48" s="10" t="s">
        <v>232</v>
      </c>
      <c r="D48" s="1" t="s">
        <v>238</v>
      </c>
      <c r="E48" s="24" t="s">
        <v>271</v>
      </c>
      <c r="F48" s="1">
        <v>7</v>
      </c>
    </row>
    <row r="49" spans="1:7">
      <c r="A49" s="10" t="s">
        <v>159</v>
      </c>
      <c r="B49" s="11">
        <v>43675</v>
      </c>
      <c r="C49" s="10" t="s">
        <v>232</v>
      </c>
      <c r="D49" s="1" t="s">
        <v>50</v>
      </c>
      <c r="E49" s="24" t="s">
        <v>204</v>
      </c>
      <c r="F49" s="1">
        <v>2</v>
      </c>
    </row>
    <row r="50" spans="1:7">
      <c r="A50" s="10" t="s">
        <v>159</v>
      </c>
      <c r="B50" s="11">
        <v>43675</v>
      </c>
      <c r="C50" s="10" t="s">
        <v>232</v>
      </c>
      <c r="D50" s="1" t="s">
        <v>205</v>
      </c>
      <c r="E50" s="24" t="s">
        <v>221</v>
      </c>
      <c r="F50" s="1">
        <v>3</v>
      </c>
    </row>
    <row r="51" spans="1:7">
      <c r="A51" s="10" t="s">
        <v>159</v>
      </c>
      <c r="B51" s="11">
        <v>43675</v>
      </c>
      <c r="C51" s="10" t="s">
        <v>232</v>
      </c>
      <c r="D51" s="1" t="s">
        <v>50</v>
      </c>
      <c r="E51" s="24" t="s">
        <v>237</v>
      </c>
      <c r="F51" s="1">
        <v>1</v>
      </c>
    </row>
    <row r="52" spans="1:7">
      <c r="A52" s="10" t="s">
        <v>159</v>
      </c>
      <c r="B52" s="11">
        <v>43675</v>
      </c>
      <c r="C52" s="10" t="s">
        <v>232</v>
      </c>
      <c r="D52" s="1" t="s">
        <v>236</v>
      </c>
      <c r="E52" s="24" t="s">
        <v>235</v>
      </c>
      <c r="F52" s="1">
        <v>1</v>
      </c>
    </row>
    <row r="53" spans="1:7">
      <c r="A53" s="10" t="s">
        <v>159</v>
      </c>
      <c r="B53" s="11">
        <v>43675</v>
      </c>
      <c r="C53" s="10" t="s">
        <v>232</v>
      </c>
      <c r="D53" s="1" t="s">
        <v>233</v>
      </c>
      <c r="E53" s="24" t="s">
        <v>234</v>
      </c>
      <c r="F53" s="1">
        <v>1</v>
      </c>
    </row>
    <row r="54" spans="1:7">
      <c r="A54" s="10" t="s">
        <v>159</v>
      </c>
      <c r="B54" s="11">
        <v>43675</v>
      </c>
      <c r="C54" s="10" t="s">
        <v>232</v>
      </c>
      <c r="D54" s="1" t="s">
        <v>172</v>
      </c>
      <c r="E54" s="24" t="s">
        <v>196</v>
      </c>
      <c r="F54" s="1">
        <v>4</v>
      </c>
      <c r="G54" s="24" t="s">
        <v>239</v>
      </c>
    </row>
    <row r="55" spans="1:7">
      <c r="A55" s="10" t="s">
        <v>159</v>
      </c>
      <c r="B55" s="11">
        <v>43675</v>
      </c>
      <c r="C55" s="10" t="s">
        <v>240</v>
      </c>
      <c r="D55" s="1" t="s">
        <v>177</v>
      </c>
      <c r="E55" s="24" t="s">
        <v>245</v>
      </c>
      <c r="F55" s="1">
        <v>1</v>
      </c>
    </row>
    <row r="56" spans="1:7">
      <c r="A56" s="10" t="s">
        <v>159</v>
      </c>
      <c r="B56" s="11">
        <v>43675</v>
      </c>
      <c r="C56" s="10" t="s">
        <v>240</v>
      </c>
      <c r="D56" s="1" t="s">
        <v>205</v>
      </c>
      <c r="E56" s="24" t="s">
        <v>247</v>
      </c>
      <c r="F56" s="1">
        <v>2</v>
      </c>
    </row>
    <row r="57" spans="1:7">
      <c r="A57" s="10" t="s">
        <v>159</v>
      </c>
      <c r="B57" s="11">
        <v>43675</v>
      </c>
      <c r="C57" s="10" t="s">
        <v>240</v>
      </c>
      <c r="D57" s="1" t="s">
        <v>249</v>
      </c>
      <c r="E57" s="24" t="s">
        <v>248</v>
      </c>
      <c r="F57" s="1">
        <v>3</v>
      </c>
      <c r="G57" s="24" t="s">
        <v>251</v>
      </c>
    </row>
    <row r="58" spans="1:7">
      <c r="A58" s="10" t="s">
        <v>159</v>
      </c>
      <c r="B58" s="11">
        <v>43675</v>
      </c>
      <c r="C58" s="10" t="s">
        <v>240</v>
      </c>
      <c r="D58" s="1" t="s">
        <v>205</v>
      </c>
      <c r="E58" s="24" t="s">
        <v>252</v>
      </c>
      <c r="F58" s="1">
        <v>1</v>
      </c>
    </row>
    <row r="59" spans="1:7">
      <c r="A59" s="10" t="s">
        <v>159</v>
      </c>
      <c r="B59" s="11">
        <v>43675</v>
      </c>
      <c r="C59" s="10" t="s">
        <v>240</v>
      </c>
      <c r="D59" s="1" t="s">
        <v>161</v>
      </c>
      <c r="E59" s="24" t="s">
        <v>241</v>
      </c>
      <c r="F59" s="1">
        <v>41</v>
      </c>
    </row>
    <row r="60" spans="1:7">
      <c r="A60" s="10" t="s">
        <v>159</v>
      </c>
      <c r="B60" s="11">
        <v>43675</v>
      </c>
      <c r="C60" s="10" t="s">
        <v>240</v>
      </c>
      <c r="D60" s="1" t="s">
        <v>217</v>
      </c>
      <c r="E60" s="24" t="s">
        <v>198</v>
      </c>
      <c r="F60" s="1">
        <v>4</v>
      </c>
    </row>
    <row r="61" spans="1:7">
      <c r="A61" s="10" t="s">
        <v>159</v>
      </c>
      <c r="B61" s="11">
        <v>43675</v>
      </c>
      <c r="C61" s="10" t="s">
        <v>240</v>
      </c>
      <c r="D61" s="1" t="s">
        <v>217</v>
      </c>
      <c r="E61" s="24" t="s">
        <v>243</v>
      </c>
      <c r="F61" s="1">
        <v>1</v>
      </c>
      <c r="G61" s="24" t="s">
        <v>244</v>
      </c>
    </row>
    <row r="62" spans="1:7">
      <c r="A62" s="10" t="s">
        <v>159</v>
      </c>
      <c r="B62" s="11">
        <v>43675</v>
      </c>
      <c r="C62" s="10" t="s">
        <v>240</v>
      </c>
      <c r="D62" s="1" t="s">
        <v>217</v>
      </c>
      <c r="E62" s="24" t="s">
        <v>225</v>
      </c>
      <c r="F62" s="1">
        <v>18</v>
      </c>
    </row>
    <row r="63" spans="1:7">
      <c r="A63" s="10" t="s">
        <v>159</v>
      </c>
      <c r="B63" s="11">
        <v>43675</v>
      </c>
      <c r="C63" s="10" t="s">
        <v>240</v>
      </c>
      <c r="D63" s="1" t="s">
        <v>215</v>
      </c>
      <c r="E63" s="24" t="s">
        <v>242</v>
      </c>
      <c r="F63" s="1">
        <v>3</v>
      </c>
    </row>
    <row r="64" spans="1:7">
      <c r="A64" s="10" t="s">
        <v>159</v>
      </c>
      <c r="B64" s="11">
        <v>43675</v>
      </c>
      <c r="C64" s="10" t="s">
        <v>255</v>
      </c>
      <c r="D64" s="1" t="s">
        <v>211</v>
      </c>
      <c r="E64" s="24" t="s">
        <v>48</v>
      </c>
      <c r="F64" s="1">
        <v>2</v>
      </c>
    </row>
    <row r="65" spans="1:7">
      <c r="A65" s="10" t="s">
        <v>254</v>
      </c>
      <c r="B65" s="11">
        <v>43675</v>
      </c>
      <c r="C65" s="10" t="s">
        <v>255</v>
      </c>
      <c r="D65" s="1" t="s">
        <v>50</v>
      </c>
      <c r="E65" s="24" t="s">
        <v>267</v>
      </c>
      <c r="F65" s="1">
        <v>2</v>
      </c>
    </row>
    <row r="66" spans="1:7">
      <c r="A66" s="10" t="s">
        <v>254</v>
      </c>
      <c r="B66" s="11">
        <v>43675</v>
      </c>
      <c r="C66" s="10" t="s">
        <v>255</v>
      </c>
      <c r="D66" s="1" t="s">
        <v>50</v>
      </c>
      <c r="E66" s="24" t="s">
        <v>259</v>
      </c>
      <c r="F66" s="1">
        <v>1</v>
      </c>
    </row>
    <row r="67" spans="1:7">
      <c r="A67" s="10" t="s">
        <v>254</v>
      </c>
      <c r="B67" s="11">
        <v>43675</v>
      </c>
      <c r="C67" s="10" t="s">
        <v>255</v>
      </c>
      <c r="D67" s="1" t="s">
        <v>205</v>
      </c>
      <c r="E67" s="24" t="s">
        <v>260</v>
      </c>
      <c r="F67" s="1">
        <v>1</v>
      </c>
    </row>
    <row r="68" spans="1:7">
      <c r="A68" s="10" t="s">
        <v>254</v>
      </c>
      <c r="B68" s="11">
        <v>43675</v>
      </c>
      <c r="C68" s="10" t="s">
        <v>255</v>
      </c>
      <c r="D68" s="1" t="s">
        <v>217</v>
      </c>
      <c r="E68" s="24" t="s">
        <v>216</v>
      </c>
      <c r="F68" s="1">
        <v>5</v>
      </c>
    </row>
    <row r="69" spans="1:7">
      <c r="A69" s="10" t="s">
        <v>254</v>
      </c>
      <c r="B69" s="11">
        <v>43675</v>
      </c>
      <c r="C69" s="10" t="s">
        <v>255</v>
      </c>
      <c r="D69" s="1" t="s">
        <v>217</v>
      </c>
      <c r="E69" s="24" t="s">
        <v>198</v>
      </c>
      <c r="F69" s="1">
        <v>1</v>
      </c>
    </row>
    <row r="70" spans="1:7">
      <c r="A70" s="10" t="s">
        <v>254</v>
      </c>
      <c r="B70" s="11">
        <v>43675</v>
      </c>
      <c r="C70" s="10" t="s">
        <v>255</v>
      </c>
      <c r="D70" s="1" t="s">
        <v>192</v>
      </c>
      <c r="E70" s="24" t="s">
        <v>257</v>
      </c>
      <c r="F70" s="1">
        <v>2</v>
      </c>
      <c r="G70" s="24" t="s">
        <v>258</v>
      </c>
    </row>
    <row r="71" spans="1:7">
      <c r="A71" s="10" t="s">
        <v>254</v>
      </c>
      <c r="B71" s="11">
        <v>43675</v>
      </c>
      <c r="C71" s="10" t="s">
        <v>255</v>
      </c>
      <c r="D71" s="1" t="s">
        <v>161</v>
      </c>
      <c r="E71" s="24" t="s">
        <v>256</v>
      </c>
      <c r="F71" s="1">
        <v>2</v>
      </c>
    </row>
    <row r="72" spans="1:7">
      <c r="A72" s="10" t="s">
        <v>254</v>
      </c>
      <c r="B72" s="11">
        <v>43675</v>
      </c>
      <c r="C72" s="10" t="s">
        <v>261</v>
      </c>
      <c r="D72" s="1" t="s">
        <v>177</v>
      </c>
      <c r="E72" s="24" t="s">
        <v>262</v>
      </c>
      <c r="F72" s="1">
        <v>1</v>
      </c>
    </row>
    <row r="73" spans="1:7">
      <c r="A73" s="10" t="s">
        <v>254</v>
      </c>
      <c r="B73" s="11">
        <v>43675</v>
      </c>
      <c r="C73" s="10" t="s">
        <v>261</v>
      </c>
      <c r="D73" s="1" t="s">
        <v>217</v>
      </c>
      <c r="E73" s="24" t="s">
        <v>216</v>
      </c>
      <c r="F73" s="1">
        <v>3</v>
      </c>
    </row>
    <row r="74" spans="1:7">
      <c r="A74" s="10" t="s">
        <v>254</v>
      </c>
      <c r="B74" s="11">
        <v>43675</v>
      </c>
      <c r="C74" s="10" t="s">
        <v>261</v>
      </c>
      <c r="D74" s="1" t="s">
        <v>217</v>
      </c>
      <c r="E74" s="24" t="s">
        <v>263</v>
      </c>
      <c r="F74" s="1">
        <v>1</v>
      </c>
    </row>
    <row r="75" spans="1:7">
      <c r="A75" s="10" t="s">
        <v>254</v>
      </c>
      <c r="B75" s="11">
        <v>43675</v>
      </c>
      <c r="C75" s="10" t="s">
        <v>264</v>
      </c>
      <c r="D75" s="1" t="s">
        <v>205</v>
      </c>
      <c r="E75" s="24" t="s">
        <v>267</v>
      </c>
      <c r="F75" s="1">
        <v>1</v>
      </c>
    </row>
    <row r="76" spans="1:7">
      <c r="A76" s="10" t="s">
        <v>254</v>
      </c>
      <c r="B76" s="11">
        <v>43675</v>
      </c>
      <c r="C76" s="10" t="s">
        <v>264</v>
      </c>
      <c r="D76" s="1" t="s">
        <v>205</v>
      </c>
      <c r="E76" s="24" t="s">
        <v>268</v>
      </c>
      <c r="F76" s="1">
        <v>1</v>
      </c>
    </row>
    <row r="77" spans="1:7">
      <c r="A77" s="10" t="s">
        <v>254</v>
      </c>
      <c r="B77" s="11">
        <v>43675</v>
      </c>
      <c r="C77" s="10" t="s">
        <v>264</v>
      </c>
      <c r="D77" s="1" t="s">
        <v>205</v>
      </c>
      <c r="E77" s="24" t="s">
        <v>266</v>
      </c>
      <c r="F77" s="1">
        <v>1</v>
      </c>
    </row>
    <row r="78" spans="1:7">
      <c r="A78" s="10" t="s">
        <v>254</v>
      </c>
      <c r="B78" s="11">
        <v>43675</v>
      </c>
      <c r="C78" s="10" t="s">
        <v>264</v>
      </c>
      <c r="D78" s="1" t="s">
        <v>265</v>
      </c>
      <c r="E78" s="24" t="s">
        <v>198</v>
      </c>
      <c r="F78" s="1">
        <v>3</v>
      </c>
    </row>
    <row r="79" spans="1:7">
      <c r="A79" s="10" t="s">
        <v>254</v>
      </c>
      <c r="B79" s="11">
        <v>43675</v>
      </c>
      <c r="C79" s="10" t="s">
        <v>264</v>
      </c>
      <c r="D79" s="1" t="s">
        <v>161</v>
      </c>
      <c r="E79" s="24" t="s">
        <v>225</v>
      </c>
      <c r="F79" s="1">
        <v>3</v>
      </c>
    </row>
    <row r="80" spans="1:7">
      <c r="A80" s="10" t="s">
        <v>254</v>
      </c>
      <c r="B80" s="11">
        <v>43675</v>
      </c>
      <c r="C80" s="10" t="s">
        <v>264</v>
      </c>
      <c r="D80" s="1" t="s">
        <v>161</v>
      </c>
      <c r="E80" s="24" t="s">
        <v>54</v>
      </c>
      <c r="F80" s="1">
        <v>2</v>
      </c>
    </row>
    <row r="81" spans="1:6">
      <c r="A81" s="10" t="s">
        <v>254</v>
      </c>
      <c r="B81" s="11">
        <v>43676</v>
      </c>
      <c r="C81" s="10" t="s">
        <v>273</v>
      </c>
      <c r="D81" s="1" t="s">
        <v>277</v>
      </c>
      <c r="E81" s="24" t="s">
        <v>279</v>
      </c>
      <c r="F81" s="1">
        <v>1</v>
      </c>
    </row>
    <row r="82" spans="1:6">
      <c r="A82" s="10" t="s">
        <v>254</v>
      </c>
      <c r="B82" s="11">
        <v>43676</v>
      </c>
      <c r="C82" s="10" t="s">
        <v>273</v>
      </c>
      <c r="D82" s="1" t="s">
        <v>275</v>
      </c>
      <c r="E82" s="24" t="s">
        <v>276</v>
      </c>
      <c r="F82" s="1">
        <v>76</v>
      </c>
    </row>
    <row r="83" spans="1:6">
      <c r="A83" s="10" t="s">
        <v>254</v>
      </c>
      <c r="B83" s="11">
        <v>43676</v>
      </c>
      <c r="C83" s="10" t="s">
        <v>273</v>
      </c>
      <c r="D83" s="1" t="s">
        <v>161</v>
      </c>
      <c r="E83" s="24" t="s">
        <v>274</v>
      </c>
      <c r="F83" s="1">
        <v>2</v>
      </c>
    </row>
    <row r="84" spans="1:6">
      <c r="A84" s="10" t="s">
        <v>254</v>
      </c>
      <c r="B84" s="11">
        <v>43676</v>
      </c>
      <c r="C84" s="10" t="s">
        <v>273</v>
      </c>
      <c r="D84" s="1" t="s">
        <v>161</v>
      </c>
      <c r="E84" s="24" t="s">
        <v>165</v>
      </c>
      <c r="F84" s="1">
        <v>2</v>
      </c>
    </row>
    <row r="85" spans="1:6">
      <c r="A85" s="10" t="s">
        <v>254</v>
      </c>
      <c r="B85" s="11">
        <v>43676</v>
      </c>
      <c r="C85" s="10" t="s">
        <v>273</v>
      </c>
      <c r="D85" s="1" t="s">
        <v>161</v>
      </c>
      <c r="E85" s="24" t="s">
        <v>162</v>
      </c>
      <c r="F85" s="1">
        <v>8</v>
      </c>
    </row>
    <row r="86" spans="1:6">
      <c r="A86" s="10" t="s">
        <v>254</v>
      </c>
      <c r="B86" s="11">
        <v>43676</v>
      </c>
      <c r="C86" s="10" t="s">
        <v>273</v>
      </c>
      <c r="D86" s="1" t="s">
        <v>161</v>
      </c>
      <c r="E86" s="24" t="s">
        <v>54</v>
      </c>
      <c r="F86" s="1">
        <v>2</v>
      </c>
    </row>
    <row r="87" spans="1:6">
      <c r="A87" s="10" t="s">
        <v>254</v>
      </c>
      <c r="B87" s="11">
        <v>43676</v>
      </c>
      <c r="C87" s="10" t="s">
        <v>280</v>
      </c>
      <c r="D87" s="1" t="s">
        <v>50</v>
      </c>
      <c r="E87" s="24" t="s">
        <v>284</v>
      </c>
      <c r="F87" s="1">
        <v>7</v>
      </c>
    </row>
    <row r="88" spans="1:6">
      <c r="A88" s="10" t="s">
        <v>254</v>
      </c>
      <c r="B88" s="11">
        <v>43676</v>
      </c>
      <c r="C88" s="10" t="s">
        <v>280</v>
      </c>
      <c r="D88" s="1" t="s">
        <v>283</v>
      </c>
      <c r="E88" s="24" t="s">
        <v>282</v>
      </c>
      <c r="F88" s="1">
        <v>1</v>
      </c>
    </row>
    <row r="89" spans="1:6">
      <c r="A89" s="10" t="s">
        <v>254</v>
      </c>
      <c r="B89" s="11">
        <v>43676</v>
      </c>
      <c r="C89" s="10" t="s">
        <v>280</v>
      </c>
      <c r="D89" s="1" t="s">
        <v>217</v>
      </c>
      <c r="E89" s="24" t="s">
        <v>281</v>
      </c>
      <c r="F89" s="1">
        <v>1</v>
      </c>
    </row>
    <row r="90" spans="1:6">
      <c r="A90" s="10" t="s">
        <v>254</v>
      </c>
      <c r="B90" s="11">
        <v>43676</v>
      </c>
      <c r="C90" s="10" t="s">
        <v>295</v>
      </c>
      <c r="D90" s="1" t="s">
        <v>172</v>
      </c>
      <c r="E90" s="24" t="s">
        <v>194</v>
      </c>
      <c r="F90" s="1">
        <v>1</v>
      </c>
    </row>
    <row r="91" spans="1:6">
      <c r="A91" s="10" t="s">
        <v>254</v>
      </c>
      <c r="B91" s="11">
        <v>43680</v>
      </c>
      <c r="C91" s="10" t="s">
        <v>296</v>
      </c>
      <c r="D91" s="1" t="s">
        <v>297</v>
      </c>
      <c r="E91" s="24" t="s">
        <v>216</v>
      </c>
      <c r="F91" s="1">
        <v>4</v>
      </c>
    </row>
    <row r="92" spans="1:6">
      <c r="A92" s="10" t="s">
        <v>254</v>
      </c>
      <c r="B92" s="11">
        <v>43680</v>
      </c>
      <c r="C92" s="10" t="s">
        <v>296</v>
      </c>
      <c r="D92" s="1" t="s">
        <v>297</v>
      </c>
      <c r="E92" s="24" t="s">
        <v>298</v>
      </c>
      <c r="F92" s="1">
        <v>1</v>
      </c>
    </row>
    <row r="93" spans="1:6">
      <c r="A93" s="10" t="s">
        <v>254</v>
      </c>
      <c r="B93" s="11">
        <v>43680</v>
      </c>
      <c r="C93" s="10" t="s">
        <v>296</v>
      </c>
      <c r="D93" s="1" t="s">
        <v>297</v>
      </c>
      <c r="E93" s="24" t="s">
        <v>299</v>
      </c>
      <c r="F93" s="1">
        <v>3</v>
      </c>
    </row>
    <row r="94" spans="1:6">
      <c r="A94" s="10" t="s">
        <v>254</v>
      </c>
      <c r="B94" s="11">
        <v>43680</v>
      </c>
      <c r="C94" s="10" t="s">
        <v>296</v>
      </c>
      <c r="D94" s="1" t="s">
        <v>297</v>
      </c>
      <c r="E94" s="24" t="s">
        <v>225</v>
      </c>
      <c r="F94" s="1">
        <v>25</v>
      </c>
    </row>
    <row r="95" spans="1:6">
      <c r="A95" s="10" t="s">
        <v>254</v>
      </c>
      <c r="B95" s="11">
        <v>43680</v>
      </c>
      <c r="C95" s="10" t="s">
        <v>296</v>
      </c>
      <c r="D95" s="1" t="s">
        <v>230</v>
      </c>
      <c r="E95" s="24" t="s">
        <v>194</v>
      </c>
      <c r="F95" s="1">
        <v>1</v>
      </c>
    </row>
    <row r="96" spans="1:6">
      <c r="A96" s="10" t="s">
        <v>254</v>
      </c>
      <c r="B96" s="11">
        <v>43680</v>
      </c>
      <c r="C96" s="10" t="s">
        <v>300</v>
      </c>
      <c r="D96" s="1" t="s">
        <v>205</v>
      </c>
      <c r="E96" s="24" t="s">
        <v>305</v>
      </c>
      <c r="F96" s="1">
        <v>1</v>
      </c>
    </row>
    <row r="97" spans="1:7">
      <c r="A97" s="10" t="s">
        <v>254</v>
      </c>
      <c r="B97" s="11">
        <v>43680</v>
      </c>
      <c r="C97" s="10" t="s">
        <v>300</v>
      </c>
      <c r="D97" s="1" t="s">
        <v>205</v>
      </c>
      <c r="E97" s="24" t="s">
        <v>304</v>
      </c>
      <c r="F97" s="1">
        <v>1</v>
      </c>
    </row>
    <row r="98" spans="1:7">
      <c r="A98" s="10" t="s">
        <v>254</v>
      </c>
      <c r="B98" s="11">
        <v>43680</v>
      </c>
      <c r="C98" s="10" t="s">
        <v>300</v>
      </c>
      <c r="D98" s="1" t="s">
        <v>205</v>
      </c>
      <c r="E98" s="24" t="s">
        <v>302</v>
      </c>
      <c r="F98" s="1">
        <v>1</v>
      </c>
      <c r="G98" s="24" t="s">
        <v>303</v>
      </c>
    </row>
    <row r="99" spans="1:7">
      <c r="A99" s="10" t="s">
        <v>254</v>
      </c>
      <c r="B99" s="11">
        <v>43680</v>
      </c>
      <c r="C99" s="10" t="s">
        <v>300</v>
      </c>
      <c r="D99" s="1" t="s">
        <v>301</v>
      </c>
      <c r="E99" s="24" t="s">
        <v>274</v>
      </c>
      <c r="F99" s="1">
        <v>7</v>
      </c>
    </row>
    <row r="100" spans="1:7">
      <c r="A100" s="10" t="s">
        <v>254</v>
      </c>
      <c r="B100" s="11">
        <v>43680</v>
      </c>
      <c r="C100" s="10" t="s">
        <v>300</v>
      </c>
      <c r="D100" s="1" t="s">
        <v>217</v>
      </c>
      <c r="E100" s="24" t="s">
        <v>234</v>
      </c>
      <c r="F100" s="1">
        <v>11</v>
      </c>
    </row>
    <row r="101" spans="1:7">
      <c r="A101" s="10" t="s">
        <v>254</v>
      </c>
      <c r="B101" s="11">
        <v>43680</v>
      </c>
      <c r="C101" s="10" t="s">
        <v>300</v>
      </c>
      <c r="D101" s="1" t="s">
        <v>161</v>
      </c>
      <c r="E101" s="24" t="s">
        <v>54</v>
      </c>
      <c r="F101" s="1">
        <v>1</v>
      </c>
    </row>
    <row r="102" spans="1:7">
      <c r="A102" s="10" t="s">
        <v>254</v>
      </c>
      <c r="B102" s="11">
        <v>43680</v>
      </c>
      <c r="C102" s="10" t="s">
        <v>300</v>
      </c>
      <c r="D102" s="1" t="s">
        <v>230</v>
      </c>
      <c r="E102" s="24" t="s">
        <v>196</v>
      </c>
      <c r="F102" s="1">
        <v>27</v>
      </c>
    </row>
    <row r="103" spans="1:7">
      <c r="A103" s="10" t="s">
        <v>254</v>
      </c>
      <c r="B103" s="11">
        <v>43682</v>
      </c>
      <c r="C103" s="10" t="s">
        <v>306</v>
      </c>
      <c r="D103" s="1" t="s">
        <v>177</v>
      </c>
      <c r="E103" s="24" t="s">
        <v>307</v>
      </c>
      <c r="F103" s="1">
        <v>1</v>
      </c>
    </row>
    <row r="104" spans="1:7">
      <c r="A104" s="10" t="s">
        <v>254</v>
      </c>
      <c r="B104" s="11">
        <v>43682</v>
      </c>
      <c r="C104" s="10" t="s">
        <v>306</v>
      </c>
      <c r="D104" s="1" t="s">
        <v>217</v>
      </c>
      <c r="E104" s="24" t="s">
        <v>216</v>
      </c>
      <c r="F104" s="1">
        <v>9</v>
      </c>
    </row>
    <row r="105" spans="1:7">
      <c r="A105" s="10" t="s">
        <v>254</v>
      </c>
      <c r="B105" s="11">
        <v>43682</v>
      </c>
      <c r="C105" s="10" t="s">
        <v>306</v>
      </c>
      <c r="D105" s="1" t="s">
        <v>215</v>
      </c>
      <c r="E105" s="24" t="s">
        <v>198</v>
      </c>
      <c r="F105" s="1">
        <v>4</v>
      </c>
    </row>
    <row r="106" spans="1:7">
      <c r="A106" s="10" t="s">
        <v>254</v>
      </c>
      <c r="B106" s="11">
        <v>43682</v>
      </c>
      <c r="C106" s="10" t="s">
        <v>306</v>
      </c>
      <c r="D106" s="1" t="s">
        <v>217</v>
      </c>
      <c r="E106" s="24" t="s">
        <v>162</v>
      </c>
      <c r="F106" s="1">
        <v>4</v>
      </c>
    </row>
    <row r="107" spans="1:7">
      <c r="A107" s="10" t="s">
        <v>254</v>
      </c>
      <c r="B107" s="11">
        <v>43682</v>
      </c>
      <c r="C107" s="10" t="s">
        <v>306</v>
      </c>
      <c r="D107" s="1" t="s">
        <v>217</v>
      </c>
      <c r="E107" s="24" t="s">
        <v>308</v>
      </c>
      <c r="F107" s="1">
        <v>1</v>
      </c>
      <c r="G107" s="24" t="s">
        <v>309</v>
      </c>
    </row>
    <row r="108" spans="1:7">
      <c r="A108" s="10" t="s">
        <v>254</v>
      </c>
      <c r="B108" s="11">
        <v>43682</v>
      </c>
      <c r="C108" s="10" t="s">
        <v>306</v>
      </c>
      <c r="D108" s="1" t="s">
        <v>217</v>
      </c>
      <c r="E108" s="24" t="s">
        <v>54</v>
      </c>
      <c r="F108" s="1">
        <v>4</v>
      </c>
    </row>
    <row r="109" spans="1:7">
      <c r="A109" s="10" t="s">
        <v>254</v>
      </c>
      <c r="B109" s="11">
        <v>43682</v>
      </c>
      <c r="C109" s="10" t="s">
        <v>310</v>
      </c>
      <c r="D109" s="1" t="s">
        <v>313</v>
      </c>
      <c r="E109" s="24" t="s">
        <v>267</v>
      </c>
      <c r="F109" s="1">
        <v>1</v>
      </c>
    </row>
    <row r="110" spans="1:7">
      <c r="A110" s="10" t="s">
        <v>254</v>
      </c>
      <c r="B110" s="11">
        <v>43682</v>
      </c>
      <c r="C110" s="10" t="s">
        <v>310</v>
      </c>
      <c r="D110" s="1" t="s">
        <v>50</v>
      </c>
      <c r="E110" s="24" t="s">
        <v>314</v>
      </c>
      <c r="F110" s="1">
        <v>1</v>
      </c>
    </row>
    <row r="111" spans="1:7">
      <c r="A111" s="10" t="s">
        <v>254</v>
      </c>
      <c r="B111" s="11">
        <v>43682</v>
      </c>
      <c r="C111" s="10" t="s">
        <v>310</v>
      </c>
      <c r="D111" s="1" t="s">
        <v>238</v>
      </c>
      <c r="E111" s="24" t="s">
        <v>316</v>
      </c>
      <c r="F111" s="1">
        <v>2</v>
      </c>
    </row>
    <row r="112" spans="1:7">
      <c r="A112" s="10" t="s">
        <v>254</v>
      </c>
      <c r="B112" s="11">
        <v>43682</v>
      </c>
      <c r="C112" s="10" t="s">
        <v>310</v>
      </c>
      <c r="D112" s="1" t="s">
        <v>50</v>
      </c>
      <c r="E112" s="24" t="s">
        <v>252</v>
      </c>
      <c r="F112" s="1">
        <v>1</v>
      </c>
    </row>
    <row r="113" spans="1:7">
      <c r="A113" s="10" t="s">
        <v>254</v>
      </c>
      <c r="B113" s="11">
        <v>43682</v>
      </c>
      <c r="C113" s="10" t="s">
        <v>310</v>
      </c>
      <c r="D113" s="1" t="s">
        <v>312</v>
      </c>
      <c r="E113" s="24" t="s">
        <v>164</v>
      </c>
      <c r="F113" s="1">
        <v>10</v>
      </c>
    </row>
    <row r="114" spans="1:7">
      <c r="A114" s="10" t="s">
        <v>254</v>
      </c>
      <c r="B114" s="11">
        <v>43682</v>
      </c>
      <c r="C114" s="10" t="s">
        <v>310</v>
      </c>
      <c r="D114" s="1" t="s">
        <v>217</v>
      </c>
      <c r="E114" s="24" t="s">
        <v>165</v>
      </c>
      <c r="F114" s="1">
        <v>8</v>
      </c>
    </row>
    <row r="115" spans="1:7">
      <c r="A115" s="10" t="s">
        <v>254</v>
      </c>
      <c r="B115" s="11">
        <v>43682</v>
      </c>
      <c r="C115" s="10" t="s">
        <v>310</v>
      </c>
      <c r="D115" s="1" t="s">
        <v>217</v>
      </c>
      <c r="E115" s="24" t="s">
        <v>212</v>
      </c>
      <c r="F115" s="1">
        <v>1</v>
      </c>
      <c r="G115" s="24" t="s">
        <v>315</v>
      </c>
    </row>
    <row r="116" spans="1:7">
      <c r="A116" s="10" t="s">
        <v>254</v>
      </c>
      <c r="B116" s="11">
        <v>43682</v>
      </c>
      <c r="C116" s="10" t="s">
        <v>310</v>
      </c>
      <c r="D116" s="1" t="s">
        <v>311</v>
      </c>
      <c r="E116" s="24" t="s">
        <v>162</v>
      </c>
      <c r="F116" s="1">
        <v>29</v>
      </c>
    </row>
    <row r="117" spans="1:7">
      <c r="A117" s="10" t="s">
        <v>254</v>
      </c>
      <c r="B117" s="11">
        <v>43682</v>
      </c>
      <c r="C117" s="10" t="s">
        <v>310</v>
      </c>
      <c r="D117" s="1" t="s">
        <v>161</v>
      </c>
      <c r="E117" s="24" t="s">
        <v>54</v>
      </c>
      <c r="F117" s="1">
        <v>4</v>
      </c>
    </row>
    <row r="118" spans="1:7">
      <c r="A118" s="10" t="s">
        <v>253</v>
      </c>
      <c r="B118" s="11">
        <v>43771</v>
      </c>
      <c r="C118" s="10" t="s">
        <v>317</v>
      </c>
      <c r="D118" s="1" t="s">
        <v>205</v>
      </c>
      <c r="E118" s="24" t="s">
        <v>318</v>
      </c>
      <c r="F118" s="1">
        <v>1</v>
      </c>
    </row>
    <row r="119" spans="1:7">
      <c r="A119" s="10" t="s">
        <v>333</v>
      </c>
      <c r="B119" s="11">
        <v>43771</v>
      </c>
      <c r="C119" s="10" t="s">
        <v>317</v>
      </c>
      <c r="D119" s="1" t="s">
        <v>161</v>
      </c>
      <c r="E119" s="24" t="s">
        <v>165</v>
      </c>
      <c r="F119" s="1">
        <v>4</v>
      </c>
    </row>
    <row r="120" spans="1:7">
      <c r="A120" s="10" t="s">
        <v>333</v>
      </c>
      <c r="B120" s="11">
        <v>43771</v>
      </c>
      <c r="C120" s="10" t="s">
        <v>317</v>
      </c>
      <c r="D120" s="1" t="s">
        <v>161</v>
      </c>
      <c r="E120" s="24" t="s">
        <v>225</v>
      </c>
      <c r="F120" s="1">
        <v>1</v>
      </c>
    </row>
    <row r="121" spans="1:7">
      <c r="A121" s="10" t="s">
        <v>253</v>
      </c>
      <c r="B121" s="11">
        <v>43771</v>
      </c>
      <c r="C121" s="10" t="s">
        <v>319</v>
      </c>
      <c r="D121" s="1" t="s">
        <v>205</v>
      </c>
      <c r="E121" s="24" t="s">
        <v>320</v>
      </c>
      <c r="F121" s="1">
        <v>1</v>
      </c>
    </row>
    <row r="122" spans="1:7">
      <c r="A122" s="10" t="s">
        <v>253</v>
      </c>
      <c r="B122" s="11">
        <v>43771</v>
      </c>
      <c r="C122" s="10" t="s">
        <v>319</v>
      </c>
      <c r="D122" s="1" t="s">
        <v>161</v>
      </c>
      <c r="E122" s="24" t="s">
        <v>165</v>
      </c>
      <c r="F122" s="1">
        <v>1</v>
      </c>
    </row>
    <row r="123" spans="1:7">
      <c r="A123" s="10" t="s">
        <v>253</v>
      </c>
      <c r="B123" s="11">
        <v>43771</v>
      </c>
      <c r="C123" s="10" t="s">
        <v>321</v>
      </c>
      <c r="D123" s="1" t="s">
        <v>323</v>
      </c>
      <c r="E123" s="24" t="s">
        <v>170</v>
      </c>
      <c r="F123" s="1">
        <v>1</v>
      </c>
    </row>
    <row r="124" spans="1:7">
      <c r="A124" s="10" t="s">
        <v>253</v>
      </c>
      <c r="B124" s="11">
        <v>43771</v>
      </c>
      <c r="C124" s="10" t="s">
        <v>321</v>
      </c>
      <c r="D124" s="1" t="s">
        <v>322</v>
      </c>
      <c r="E124" s="24" t="s">
        <v>212</v>
      </c>
      <c r="F124" s="1">
        <v>2</v>
      </c>
    </row>
    <row r="125" spans="1:7">
      <c r="A125" s="10" t="s">
        <v>253</v>
      </c>
      <c r="B125" s="11">
        <v>43771</v>
      </c>
      <c r="C125" s="10" t="s">
        <v>324</v>
      </c>
      <c r="D125" s="1" t="s">
        <v>205</v>
      </c>
      <c r="E125" s="24" t="s">
        <v>328</v>
      </c>
      <c r="F125" s="1">
        <v>2</v>
      </c>
    </row>
    <row r="126" spans="1:7">
      <c r="A126" s="10" t="s">
        <v>253</v>
      </c>
      <c r="B126" s="11">
        <v>43771</v>
      </c>
      <c r="C126" s="10" t="s">
        <v>324</v>
      </c>
      <c r="D126" s="1" t="s">
        <v>205</v>
      </c>
      <c r="E126" s="24" t="s">
        <v>327</v>
      </c>
      <c r="F126" s="1">
        <v>1</v>
      </c>
    </row>
    <row r="127" spans="1:7">
      <c r="A127" s="10" t="s">
        <v>253</v>
      </c>
      <c r="B127" s="11">
        <v>43771</v>
      </c>
      <c r="C127" s="10" t="s">
        <v>324</v>
      </c>
      <c r="D127" s="1" t="s">
        <v>161</v>
      </c>
      <c r="E127" s="24" t="s">
        <v>198</v>
      </c>
      <c r="F127" s="1">
        <v>1</v>
      </c>
    </row>
    <row r="128" spans="1:7">
      <c r="A128" s="10" t="s">
        <v>253</v>
      </c>
      <c r="B128" s="11">
        <v>43771</v>
      </c>
      <c r="C128" s="10" t="s">
        <v>324</v>
      </c>
      <c r="D128" s="1" t="s">
        <v>326</v>
      </c>
      <c r="E128" s="24" t="s">
        <v>299</v>
      </c>
      <c r="F128" s="1">
        <v>1</v>
      </c>
    </row>
    <row r="129" spans="1:7">
      <c r="A129" s="10" t="s">
        <v>253</v>
      </c>
      <c r="B129" s="11">
        <v>43771</v>
      </c>
      <c r="C129" s="10" t="s">
        <v>324</v>
      </c>
      <c r="D129" s="1" t="s">
        <v>215</v>
      </c>
      <c r="E129" s="24" t="s">
        <v>325</v>
      </c>
      <c r="F129" s="1">
        <v>2</v>
      </c>
    </row>
    <row r="130" spans="1:7">
      <c r="A130" s="10" t="s">
        <v>253</v>
      </c>
      <c r="B130" s="11">
        <v>43771</v>
      </c>
      <c r="C130" s="10" t="s">
        <v>324</v>
      </c>
      <c r="D130" s="1" t="s">
        <v>215</v>
      </c>
      <c r="E130" s="24" t="s">
        <v>199</v>
      </c>
      <c r="F130" s="1">
        <v>1</v>
      </c>
    </row>
    <row r="131" spans="1:7">
      <c r="A131" s="10" t="s">
        <v>253</v>
      </c>
      <c r="B131" s="11">
        <v>43771</v>
      </c>
      <c r="C131" s="10" t="s">
        <v>329</v>
      </c>
      <c r="D131" s="1" t="s">
        <v>331</v>
      </c>
      <c r="E131" s="24" t="s">
        <v>330</v>
      </c>
      <c r="F131" s="1">
        <v>1</v>
      </c>
    </row>
    <row r="132" spans="1:7">
      <c r="A132" s="10" t="s">
        <v>253</v>
      </c>
      <c r="B132" s="11">
        <v>43771</v>
      </c>
      <c r="C132" s="10" t="s">
        <v>329</v>
      </c>
      <c r="D132" s="1" t="s">
        <v>229</v>
      </c>
      <c r="E132" s="24" t="s">
        <v>204</v>
      </c>
      <c r="F132" s="1">
        <v>1</v>
      </c>
    </row>
    <row r="133" spans="1:7">
      <c r="A133" s="10" t="s">
        <v>253</v>
      </c>
      <c r="B133" s="11">
        <v>43771</v>
      </c>
      <c r="C133" s="10" t="s">
        <v>329</v>
      </c>
      <c r="D133" s="1" t="s">
        <v>215</v>
      </c>
      <c r="E133" s="24" t="s">
        <v>164</v>
      </c>
      <c r="F133" s="1">
        <v>1</v>
      </c>
    </row>
    <row r="134" spans="1:7">
      <c r="A134" s="10" t="s">
        <v>253</v>
      </c>
      <c r="B134" s="11">
        <v>43771</v>
      </c>
      <c r="C134" s="10" t="s">
        <v>329</v>
      </c>
      <c r="D134" s="1" t="s">
        <v>161</v>
      </c>
      <c r="E134" s="24" t="s">
        <v>165</v>
      </c>
      <c r="F134" s="1">
        <v>1</v>
      </c>
    </row>
    <row r="135" spans="1:7">
      <c r="A135" s="10" t="s">
        <v>253</v>
      </c>
      <c r="B135" s="11">
        <v>43771</v>
      </c>
      <c r="C135" s="10" t="s">
        <v>329</v>
      </c>
      <c r="D135" s="1" t="s">
        <v>161</v>
      </c>
      <c r="E135" s="24" t="s">
        <v>212</v>
      </c>
      <c r="F135" s="1">
        <v>1</v>
      </c>
    </row>
    <row r="136" spans="1:7">
      <c r="A136" s="10" t="s">
        <v>253</v>
      </c>
      <c r="B136" s="11">
        <v>43771</v>
      </c>
      <c r="C136" s="10" t="s">
        <v>329</v>
      </c>
      <c r="D136" s="1" t="s">
        <v>233</v>
      </c>
      <c r="E136" s="24" t="s">
        <v>225</v>
      </c>
      <c r="F136" s="1">
        <v>1</v>
      </c>
    </row>
    <row r="137" spans="1:7">
      <c r="A137" s="10" t="s">
        <v>253</v>
      </c>
      <c r="B137" s="11">
        <v>43771</v>
      </c>
      <c r="C137" s="10" t="s">
        <v>329</v>
      </c>
      <c r="D137" s="1" t="s">
        <v>161</v>
      </c>
      <c r="E137" s="24" t="s">
        <v>54</v>
      </c>
      <c r="F137" s="1">
        <v>2</v>
      </c>
    </row>
    <row r="138" spans="1:7">
      <c r="A138" s="10" t="s">
        <v>253</v>
      </c>
      <c r="B138" s="11">
        <v>43771</v>
      </c>
      <c r="C138" s="10" t="s">
        <v>329</v>
      </c>
      <c r="D138" s="1" t="s">
        <v>172</v>
      </c>
      <c r="E138" s="24" t="s">
        <v>174</v>
      </c>
      <c r="F138" s="1">
        <v>1</v>
      </c>
      <c r="G138" s="24" t="s">
        <v>332</v>
      </c>
    </row>
    <row r="139" spans="1:7">
      <c r="A139" s="10" t="s">
        <v>253</v>
      </c>
      <c r="B139" s="11">
        <v>43771</v>
      </c>
      <c r="C139" s="10" t="s">
        <v>334</v>
      </c>
      <c r="D139" s="1" t="s">
        <v>177</v>
      </c>
      <c r="E139" s="24" t="s">
        <v>335</v>
      </c>
      <c r="F139" s="1">
        <v>1</v>
      </c>
    </row>
    <row r="140" spans="1:7">
      <c r="A140" s="10" t="s">
        <v>253</v>
      </c>
      <c r="B140" s="11">
        <v>43771</v>
      </c>
      <c r="C140" s="10" t="s">
        <v>334</v>
      </c>
      <c r="D140" s="1" t="s">
        <v>217</v>
      </c>
      <c r="E140" s="24" t="s">
        <v>336</v>
      </c>
      <c r="F140" s="1">
        <v>1</v>
      </c>
    </row>
    <row r="141" spans="1:7">
      <c r="A141" s="10" t="s">
        <v>253</v>
      </c>
      <c r="B141" s="11">
        <v>43771</v>
      </c>
      <c r="C141" s="10" t="s">
        <v>334</v>
      </c>
      <c r="D141" s="1" t="s">
        <v>217</v>
      </c>
      <c r="E141" s="24" t="s">
        <v>299</v>
      </c>
      <c r="F141" s="1">
        <v>1</v>
      </c>
    </row>
    <row r="142" spans="1:7">
      <c r="A142" s="10" t="s">
        <v>253</v>
      </c>
      <c r="B142" s="11">
        <v>43771</v>
      </c>
      <c r="C142" s="10" t="s">
        <v>337</v>
      </c>
      <c r="D142" s="1" t="s">
        <v>338</v>
      </c>
      <c r="E142" s="24" t="s">
        <v>165</v>
      </c>
      <c r="F142" s="1">
        <v>5</v>
      </c>
    </row>
    <row r="143" spans="1:7">
      <c r="A143" s="10" t="s">
        <v>253</v>
      </c>
      <c r="B143" s="11">
        <v>43771</v>
      </c>
      <c r="C143" s="10" t="s">
        <v>337</v>
      </c>
      <c r="D143" s="1" t="s">
        <v>161</v>
      </c>
      <c r="E143" s="24" t="s">
        <v>339</v>
      </c>
      <c r="F143" s="1">
        <v>1</v>
      </c>
    </row>
    <row r="144" spans="1:7">
      <c r="A144" s="10" t="s">
        <v>253</v>
      </c>
      <c r="B144" s="11">
        <v>43771</v>
      </c>
      <c r="C144" s="10" t="s">
        <v>340</v>
      </c>
      <c r="D144" s="1" t="s">
        <v>177</v>
      </c>
      <c r="E144" s="24" t="s">
        <v>342</v>
      </c>
      <c r="F144" s="1">
        <v>1</v>
      </c>
    </row>
    <row r="145" spans="1:7">
      <c r="A145" s="10" t="s">
        <v>253</v>
      </c>
      <c r="B145" s="11">
        <v>43771</v>
      </c>
      <c r="C145" s="10" t="s">
        <v>340</v>
      </c>
      <c r="D145" s="1" t="s">
        <v>341</v>
      </c>
      <c r="E145" s="24" t="s">
        <v>278</v>
      </c>
      <c r="F145" s="1">
        <v>1</v>
      </c>
    </row>
    <row r="146" spans="1:7">
      <c r="A146" s="10" t="s">
        <v>253</v>
      </c>
      <c r="B146" s="11">
        <v>43771</v>
      </c>
      <c r="C146" s="10" t="s">
        <v>340</v>
      </c>
      <c r="D146" s="1" t="s">
        <v>205</v>
      </c>
      <c r="E146" s="24" t="s">
        <v>204</v>
      </c>
      <c r="F146" s="1">
        <v>1</v>
      </c>
    </row>
    <row r="147" spans="1:7">
      <c r="A147" s="10" t="s">
        <v>253</v>
      </c>
      <c r="B147" s="11">
        <v>43771</v>
      </c>
      <c r="C147" s="10" t="s">
        <v>340</v>
      </c>
      <c r="D147" s="1" t="s">
        <v>161</v>
      </c>
      <c r="E147" s="24" t="s">
        <v>235</v>
      </c>
      <c r="F147" s="1">
        <v>1</v>
      </c>
      <c r="G147" s="24" t="s">
        <v>343</v>
      </c>
    </row>
    <row r="148" spans="1:7">
      <c r="A148" s="10" t="s">
        <v>253</v>
      </c>
      <c r="B148" s="11">
        <v>43771</v>
      </c>
      <c r="C148" s="10" t="s">
        <v>340</v>
      </c>
      <c r="D148" s="1" t="s">
        <v>172</v>
      </c>
      <c r="E148" s="24" t="s">
        <v>196</v>
      </c>
      <c r="F148" s="1">
        <v>10</v>
      </c>
      <c r="G148" s="24" t="s">
        <v>344</v>
      </c>
    </row>
    <row r="149" spans="1:7">
      <c r="A149" s="10" t="s">
        <v>253</v>
      </c>
      <c r="B149" s="11">
        <v>43771</v>
      </c>
      <c r="C149" s="10" t="s">
        <v>340</v>
      </c>
      <c r="D149" s="1" t="s">
        <v>230</v>
      </c>
      <c r="E149" s="24" t="s">
        <v>345</v>
      </c>
      <c r="F149" s="1">
        <v>4</v>
      </c>
    </row>
    <row r="150" spans="1:7">
      <c r="A150" s="10" t="s">
        <v>253</v>
      </c>
      <c r="B150" s="11">
        <v>43771</v>
      </c>
      <c r="C150" s="10" t="s">
        <v>346</v>
      </c>
      <c r="D150" s="1" t="s">
        <v>348</v>
      </c>
      <c r="E150" s="24" t="s">
        <v>347</v>
      </c>
      <c r="F150" s="1">
        <v>1</v>
      </c>
    </row>
    <row r="151" spans="1:7">
      <c r="A151" s="10" t="s">
        <v>253</v>
      </c>
      <c r="B151" s="11">
        <v>43771</v>
      </c>
      <c r="C151" s="10" t="s">
        <v>346</v>
      </c>
      <c r="D151" s="1" t="s">
        <v>205</v>
      </c>
      <c r="E151" s="24" t="s">
        <v>85</v>
      </c>
      <c r="F151" s="1">
        <v>1</v>
      </c>
    </row>
    <row r="152" spans="1:7">
      <c r="A152" s="10" t="s">
        <v>253</v>
      </c>
      <c r="B152" s="11">
        <v>43771</v>
      </c>
      <c r="C152" s="10" t="s">
        <v>346</v>
      </c>
      <c r="D152" s="1" t="s">
        <v>161</v>
      </c>
      <c r="E152" s="24" t="s">
        <v>165</v>
      </c>
      <c r="F152" s="1">
        <v>1</v>
      </c>
    </row>
    <row r="153" spans="1:7">
      <c r="A153" s="10" t="s">
        <v>253</v>
      </c>
      <c r="B153" s="11">
        <v>43771</v>
      </c>
      <c r="C153" s="10" t="s">
        <v>349</v>
      </c>
      <c r="D153" s="1" t="s">
        <v>161</v>
      </c>
      <c r="E153" s="24" t="s">
        <v>235</v>
      </c>
      <c r="F153" s="1">
        <v>1</v>
      </c>
      <c r="G153" s="24" t="s">
        <v>350</v>
      </c>
    </row>
    <row r="154" spans="1:7">
      <c r="A154" s="10" t="s">
        <v>253</v>
      </c>
      <c r="B154" s="11">
        <v>43771</v>
      </c>
      <c r="C154" s="10" t="s">
        <v>351</v>
      </c>
      <c r="D154" s="1" t="s">
        <v>277</v>
      </c>
      <c r="E154" s="24" t="s">
        <v>335</v>
      </c>
      <c r="F154" s="1">
        <v>4</v>
      </c>
    </row>
    <row r="155" spans="1:7">
      <c r="A155" s="10" t="s">
        <v>253</v>
      </c>
      <c r="B155" s="11">
        <v>43771</v>
      </c>
      <c r="C155" s="10" t="s">
        <v>351</v>
      </c>
      <c r="D155" s="1" t="s">
        <v>205</v>
      </c>
      <c r="E155" s="24" t="s">
        <v>85</v>
      </c>
      <c r="F155" s="1">
        <v>3</v>
      </c>
    </row>
    <row r="156" spans="1:7">
      <c r="A156" s="10" t="s">
        <v>253</v>
      </c>
      <c r="B156" s="11">
        <v>43771</v>
      </c>
      <c r="C156" s="10" t="s">
        <v>351</v>
      </c>
      <c r="D156" s="1" t="s">
        <v>215</v>
      </c>
      <c r="E156" s="24" t="s">
        <v>198</v>
      </c>
      <c r="F156" s="1">
        <v>1</v>
      </c>
    </row>
    <row r="157" spans="1:7">
      <c r="A157" s="10" t="s">
        <v>253</v>
      </c>
      <c r="B157" s="11">
        <v>43772</v>
      </c>
      <c r="C157" s="10" t="s">
        <v>352</v>
      </c>
      <c r="D157" s="1" t="s">
        <v>205</v>
      </c>
      <c r="E157" s="24" t="s">
        <v>354</v>
      </c>
      <c r="F157" s="1">
        <v>1</v>
      </c>
    </row>
    <row r="158" spans="1:7">
      <c r="A158" s="10" t="s">
        <v>253</v>
      </c>
      <c r="B158" s="11">
        <v>43772</v>
      </c>
      <c r="C158" s="10" t="s">
        <v>352</v>
      </c>
      <c r="D158" s="1" t="s">
        <v>205</v>
      </c>
      <c r="E158" s="24" t="s">
        <v>353</v>
      </c>
      <c r="F158" s="1">
        <v>1</v>
      </c>
    </row>
    <row r="159" spans="1:7">
      <c r="A159" s="10" t="s">
        <v>253</v>
      </c>
      <c r="B159" s="11">
        <v>43772</v>
      </c>
      <c r="C159" s="10" t="s">
        <v>352</v>
      </c>
      <c r="D159" s="1" t="s">
        <v>161</v>
      </c>
      <c r="E159" s="24" t="s">
        <v>165</v>
      </c>
      <c r="F159" s="1">
        <v>1</v>
      </c>
    </row>
    <row r="160" spans="1:7">
      <c r="A160" s="10" t="s">
        <v>253</v>
      </c>
      <c r="B160" s="11">
        <v>43772</v>
      </c>
      <c r="C160" s="10" t="s">
        <v>355</v>
      </c>
      <c r="D160" s="1" t="s">
        <v>356</v>
      </c>
      <c r="E160" s="24" t="s">
        <v>48</v>
      </c>
      <c r="F160" s="1">
        <v>1</v>
      </c>
    </row>
    <row r="161" spans="1:7">
      <c r="A161" s="10" t="s">
        <v>253</v>
      </c>
      <c r="B161" s="11">
        <v>43772</v>
      </c>
      <c r="C161" s="10" t="s">
        <v>355</v>
      </c>
      <c r="D161" s="1" t="s">
        <v>205</v>
      </c>
      <c r="E161" s="24" t="s">
        <v>235</v>
      </c>
      <c r="F161" s="1">
        <v>1</v>
      </c>
      <c r="G161" s="24" t="s">
        <v>357</v>
      </c>
    </row>
    <row r="162" spans="1:7">
      <c r="A162" s="10" t="s">
        <v>253</v>
      </c>
      <c r="B162" s="11">
        <v>43772</v>
      </c>
      <c r="C162" s="10" t="s">
        <v>355</v>
      </c>
      <c r="D162" s="1" t="s">
        <v>217</v>
      </c>
      <c r="E162" s="24" t="s">
        <v>165</v>
      </c>
      <c r="F162" s="1">
        <v>1</v>
      </c>
    </row>
    <row r="163" spans="1:7">
      <c r="A163" s="10" t="s">
        <v>253</v>
      </c>
      <c r="B163" s="11">
        <v>43772</v>
      </c>
      <c r="C163" s="10" t="s">
        <v>355</v>
      </c>
      <c r="D163" s="1" t="s">
        <v>230</v>
      </c>
      <c r="E163" s="24" t="s">
        <v>196</v>
      </c>
      <c r="F163" s="1">
        <v>2</v>
      </c>
      <c r="G163" s="24" t="s">
        <v>358</v>
      </c>
    </row>
    <row r="164" spans="1:7">
      <c r="A164" s="10" t="s">
        <v>253</v>
      </c>
      <c r="B164" s="11">
        <v>43772</v>
      </c>
      <c r="C164" s="10" t="s">
        <v>359</v>
      </c>
      <c r="D164" s="1" t="s">
        <v>217</v>
      </c>
      <c r="E164" s="24" t="s">
        <v>225</v>
      </c>
      <c r="F164" s="1">
        <v>1</v>
      </c>
    </row>
    <row r="165" spans="1:7">
      <c r="A165" s="10" t="s">
        <v>9</v>
      </c>
      <c r="B165" s="11">
        <v>44146</v>
      </c>
      <c r="C165" s="10" t="s">
        <v>127</v>
      </c>
      <c r="D165" s="1" t="s">
        <v>205</v>
      </c>
      <c r="E165" s="25" t="s">
        <v>85</v>
      </c>
      <c r="F165" s="2">
        <v>2</v>
      </c>
      <c r="G165" s="25"/>
    </row>
    <row r="166" spans="1:7">
      <c r="A166" s="10" t="s">
        <v>9</v>
      </c>
      <c r="B166" s="11">
        <v>44146</v>
      </c>
      <c r="C166" s="10" t="s">
        <v>127</v>
      </c>
      <c r="D166" s="1" t="s">
        <v>205</v>
      </c>
      <c r="E166" s="25" t="s">
        <v>33</v>
      </c>
      <c r="F166" s="2">
        <v>4</v>
      </c>
      <c r="G166" s="25"/>
    </row>
    <row r="167" spans="1:7">
      <c r="A167" s="10" t="s">
        <v>9</v>
      </c>
      <c r="B167" s="11">
        <v>44146</v>
      </c>
      <c r="C167" s="10" t="s">
        <v>127</v>
      </c>
      <c r="D167" s="21" t="s">
        <v>30</v>
      </c>
      <c r="E167" s="28" t="s">
        <v>31</v>
      </c>
      <c r="F167" s="2">
        <v>1</v>
      </c>
      <c r="G167" s="25"/>
    </row>
    <row r="168" spans="1:7">
      <c r="A168" s="10" t="s">
        <v>9</v>
      </c>
      <c r="B168" s="11">
        <v>44146</v>
      </c>
      <c r="C168" s="10" t="s">
        <v>127</v>
      </c>
      <c r="D168" s="21" t="s">
        <v>30</v>
      </c>
      <c r="E168" s="25" t="s">
        <v>32</v>
      </c>
      <c r="F168" s="2">
        <v>1</v>
      </c>
      <c r="G168" s="25"/>
    </row>
    <row r="169" spans="1:7">
      <c r="A169" s="10" t="s">
        <v>9</v>
      </c>
      <c r="B169" s="11">
        <v>44147</v>
      </c>
      <c r="C169" s="10" t="s">
        <v>128</v>
      </c>
      <c r="D169" s="21" t="s">
        <v>205</v>
      </c>
      <c r="E169" s="24" t="s">
        <v>360</v>
      </c>
      <c r="F169" s="2">
        <v>1</v>
      </c>
      <c r="G169" s="25"/>
    </row>
    <row r="170" spans="1:7">
      <c r="A170" s="10" t="s">
        <v>9</v>
      </c>
      <c r="B170" s="11">
        <v>44147</v>
      </c>
      <c r="C170" s="10" t="s">
        <v>128</v>
      </c>
      <c r="D170" s="21" t="s">
        <v>30</v>
      </c>
      <c r="E170" s="28" t="s">
        <v>31</v>
      </c>
      <c r="F170" s="2">
        <v>1</v>
      </c>
      <c r="G170" s="25"/>
    </row>
    <row r="171" spans="1:7">
      <c r="A171" s="10" t="s">
        <v>9</v>
      </c>
      <c r="B171" s="11">
        <v>44147</v>
      </c>
      <c r="C171" s="10" t="s">
        <v>128</v>
      </c>
      <c r="D171" s="21" t="s">
        <v>30</v>
      </c>
      <c r="E171" s="25" t="s">
        <v>34</v>
      </c>
      <c r="F171" s="2">
        <v>6</v>
      </c>
      <c r="G171" s="25" t="s">
        <v>35</v>
      </c>
    </row>
    <row r="172" spans="1:7">
      <c r="A172" s="10" t="s">
        <v>9</v>
      </c>
      <c r="B172" s="11">
        <v>44149</v>
      </c>
      <c r="C172" s="10" t="s">
        <v>129</v>
      </c>
      <c r="D172" s="9" t="s">
        <v>36</v>
      </c>
      <c r="E172" s="25" t="s">
        <v>246</v>
      </c>
      <c r="F172" s="2">
        <v>1</v>
      </c>
      <c r="G172" s="25"/>
    </row>
    <row r="173" spans="1:7">
      <c r="A173" s="10" t="s">
        <v>9</v>
      </c>
      <c r="B173" s="11">
        <v>44149</v>
      </c>
      <c r="C173" s="10" t="s">
        <v>129</v>
      </c>
      <c r="D173" s="21" t="s">
        <v>30</v>
      </c>
      <c r="E173" s="28" t="s">
        <v>31</v>
      </c>
      <c r="F173" s="2">
        <v>1</v>
      </c>
      <c r="G173" s="25"/>
    </row>
    <row r="174" spans="1:7">
      <c r="A174" s="10" t="s">
        <v>9</v>
      </c>
      <c r="B174" s="11">
        <v>44149</v>
      </c>
      <c r="C174" s="10" t="s">
        <v>129</v>
      </c>
      <c r="D174" s="21" t="s">
        <v>30</v>
      </c>
      <c r="E174" s="25" t="s">
        <v>34</v>
      </c>
      <c r="F174" s="2">
        <v>5</v>
      </c>
      <c r="G174" s="25"/>
    </row>
    <row r="175" spans="1:7">
      <c r="A175" s="10" t="s">
        <v>9</v>
      </c>
      <c r="B175" s="11">
        <v>44149</v>
      </c>
      <c r="C175" s="10" t="s">
        <v>129</v>
      </c>
      <c r="D175" s="9" t="s">
        <v>38</v>
      </c>
      <c r="E175" s="25" t="s">
        <v>39</v>
      </c>
      <c r="F175" s="2">
        <v>30</v>
      </c>
      <c r="G175" s="25" t="s">
        <v>40</v>
      </c>
    </row>
    <row r="176" spans="1:7">
      <c r="A176" s="10" t="s">
        <v>9</v>
      </c>
      <c r="B176" s="11">
        <v>44150</v>
      </c>
      <c r="C176" s="10" t="s">
        <v>130</v>
      </c>
      <c r="D176" s="21" t="s">
        <v>30</v>
      </c>
      <c r="E176" s="25" t="s">
        <v>34</v>
      </c>
      <c r="F176" s="2">
        <v>4</v>
      </c>
      <c r="G176" s="25"/>
    </row>
    <row r="177" spans="1:7">
      <c r="A177" s="10" t="s">
        <v>41</v>
      </c>
      <c r="B177" s="11">
        <v>44211</v>
      </c>
      <c r="C177" s="10" t="s">
        <v>131</v>
      </c>
      <c r="D177" s="9" t="s">
        <v>36</v>
      </c>
      <c r="E177" s="25" t="s">
        <v>48</v>
      </c>
      <c r="F177" s="2">
        <v>15</v>
      </c>
      <c r="G177" s="25" t="s">
        <v>49</v>
      </c>
    </row>
    <row r="178" spans="1:7">
      <c r="A178" s="10" t="s">
        <v>41</v>
      </c>
      <c r="B178" s="11">
        <v>44211</v>
      </c>
      <c r="C178" s="10" t="s">
        <v>131</v>
      </c>
      <c r="D178" s="9" t="s">
        <v>50</v>
      </c>
      <c r="E178" s="25" t="s">
        <v>362</v>
      </c>
      <c r="F178" s="2">
        <v>2</v>
      </c>
      <c r="G178" s="25"/>
    </row>
    <row r="179" spans="1:7">
      <c r="A179" s="10" t="s">
        <v>41</v>
      </c>
      <c r="B179" s="11">
        <v>44211</v>
      </c>
      <c r="C179" s="10" t="s">
        <v>131</v>
      </c>
      <c r="D179" s="9" t="s">
        <v>50</v>
      </c>
      <c r="E179" s="25" t="s">
        <v>149</v>
      </c>
      <c r="F179" s="2">
        <v>1</v>
      </c>
      <c r="G179" s="25"/>
    </row>
    <row r="180" spans="1:7">
      <c r="A180" s="10" t="s">
        <v>41</v>
      </c>
      <c r="B180" s="11">
        <v>44211</v>
      </c>
      <c r="C180" s="10" t="s">
        <v>131</v>
      </c>
      <c r="D180" s="9" t="s">
        <v>30</v>
      </c>
      <c r="E180" s="25" t="s">
        <v>31</v>
      </c>
      <c r="F180" s="2">
        <v>7</v>
      </c>
      <c r="G180" s="25" t="s">
        <v>361</v>
      </c>
    </row>
    <row r="181" spans="1:7">
      <c r="A181" s="10" t="s">
        <v>41</v>
      </c>
      <c r="B181" s="11">
        <v>44211</v>
      </c>
      <c r="C181" s="10" t="s">
        <v>131</v>
      </c>
      <c r="D181" s="9" t="s">
        <v>30</v>
      </c>
      <c r="E181" s="25" t="s">
        <v>32</v>
      </c>
      <c r="F181" s="2">
        <v>10</v>
      </c>
      <c r="G181" s="25"/>
    </row>
    <row r="182" spans="1:7">
      <c r="A182" s="10" t="s">
        <v>41</v>
      </c>
      <c r="B182" s="11">
        <v>44211</v>
      </c>
      <c r="C182" s="10" t="s">
        <v>131</v>
      </c>
      <c r="D182" s="9" t="s">
        <v>30</v>
      </c>
      <c r="E182" s="24" t="s">
        <v>202</v>
      </c>
      <c r="F182" s="2">
        <v>2</v>
      </c>
      <c r="G182" s="25" t="s">
        <v>51</v>
      </c>
    </row>
    <row r="183" spans="1:7">
      <c r="A183" s="10" t="s">
        <v>41</v>
      </c>
      <c r="B183" s="11">
        <v>44211</v>
      </c>
      <c r="C183" s="10" t="s">
        <v>131</v>
      </c>
      <c r="D183" s="9" t="s">
        <v>30</v>
      </c>
      <c r="E183" s="25" t="s">
        <v>34</v>
      </c>
      <c r="F183" s="2">
        <f>10+13+13+16</f>
        <v>52</v>
      </c>
      <c r="G183" s="25"/>
    </row>
    <row r="184" spans="1:7">
      <c r="A184" s="10" t="s">
        <v>41</v>
      </c>
      <c r="B184" s="11">
        <v>44211</v>
      </c>
      <c r="C184" s="10" t="s">
        <v>131</v>
      </c>
      <c r="D184" s="9" t="s">
        <v>38</v>
      </c>
      <c r="E184" s="25" t="s">
        <v>39</v>
      </c>
      <c r="F184" s="2">
        <v>4</v>
      </c>
      <c r="G184" s="25"/>
    </row>
    <row r="185" spans="1:7">
      <c r="A185" s="10" t="s">
        <v>41</v>
      </c>
      <c r="B185" s="11">
        <v>44211</v>
      </c>
      <c r="C185" s="10" t="s">
        <v>131</v>
      </c>
      <c r="D185" s="9" t="s">
        <v>38</v>
      </c>
      <c r="E185" s="25" t="s">
        <v>52</v>
      </c>
      <c r="F185" s="2">
        <v>3</v>
      </c>
      <c r="G185" s="25"/>
    </row>
    <row r="186" spans="1:7">
      <c r="A186" s="10" t="s">
        <v>41</v>
      </c>
      <c r="B186" s="11">
        <v>44211</v>
      </c>
      <c r="C186" s="10" t="s">
        <v>132</v>
      </c>
      <c r="D186" s="9" t="s">
        <v>30</v>
      </c>
      <c r="E186" s="25" t="s">
        <v>31</v>
      </c>
      <c r="F186" s="2">
        <v>2</v>
      </c>
      <c r="G186" s="25"/>
    </row>
    <row r="187" spans="1:7">
      <c r="A187" s="10" t="s">
        <v>41</v>
      </c>
      <c r="B187" s="11">
        <v>44211</v>
      </c>
      <c r="C187" s="10" t="s">
        <v>132</v>
      </c>
      <c r="D187" s="9" t="s">
        <v>30</v>
      </c>
      <c r="E187" s="25" t="s">
        <v>32</v>
      </c>
      <c r="F187" s="2">
        <v>1</v>
      </c>
      <c r="G187" s="25"/>
    </row>
    <row r="188" spans="1:7">
      <c r="A188" s="10" t="s">
        <v>41</v>
      </c>
      <c r="B188" s="11">
        <v>44212</v>
      </c>
      <c r="C188" s="10" t="s">
        <v>133</v>
      </c>
      <c r="D188" s="9" t="s">
        <v>36</v>
      </c>
      <c r="E188" s="25" t="s">
        <v>48</v>
      </c>
      <c r="F188" s="2">
        <v>2</v>
      </c>
      <c r="G188" s="25"/>
    </row>
    <row r="189" spans="1:7">
      <c r="A189" s="10" t="s">
        <v>41</v>
      </c>
      <c r="B189" s="11">
        <v>44212</v>
      </c>
      <c r="C189" s="10" t="s">
        <v>133</v>
      </c>
      <c r="D189" s="9" t="s">
        <v>30</v>
      </c>
      <c r="E189" s="26" t="s">
        <v>212</v>
      </c>
      <c r="F189" s="2">
        <v>1</v>
      </c>
      <c r="G189" s="25" t="s">
        <v>363</v>
      </c>
    </row>
    <row r="190" spans="1:7">
      <c r="A190" s="10" t="s">
        <v>41</v>
      </c>
      <c r="B190" s="11">
        <v>44212</v>
      </c>
      <c r="C190" s="10" t="s">
        <v>133</v>
      </c>
      <c r="D190" s="9" t="s">
        <v>30</v>
      </c>
      <c r="E190" s="25" t="s">
        <v>34</v>
      </c>
      <c r="F190" s="2">
        <v>2</v>
      </c>
      <c r="G190" s="25"/>
    </row>
    <row r="191" spans="1:7">
      <c r="A191" s="10" t="s">
        <v>41</v>
      </c>
      <c r="B191" s="11">
        <v>44212</v>
      </c>
      <c r="C191" s="10" t="s">
        <v>133</v>
      </c>
      <c r="D191" s="9" t="s">
        <v>30</v>
      </c>
      <c r="E191" s="25" t="s">
        <v>54</v>
      </c>
      <c r="F191" s="2">
        <v>4</v>
      </c>
      <c r="G191" s="25"/>
    </row>
    <row r="192" spans="1:7">
      <c r="A192" s="10" t="s">
        <v>41</v>
      </c>
      <c r="B192" s="11">
        <v>44212</v>
      </c>
      <c r="C192" s="10" t="s">
        <v>133</v>
      </c>
      <c r="D192" s="9" t="s">
        <v>38</v>
      </c>
      <c r="E192" s="25" t="s">
        <v>52</v>
      </c>
      <c r="F192" s="2">
        <v>1</v>
      </c>
      <c r="G192" s="25"/>
    </row>
    <row r="193" spans="1:7">
      <c r="A193" s="10" t="s">
        <v>41</v>
      </c>
      <c r="B193" s="11">
        <v>44212</v>
      </c>
      <c r="C193" s="10" t="s">
        <v>134</v>
      </c>
      <c r="D193" s="9" t="s">
        <v>30</v>
      </c>
      <c r="E193" s="25" t="s">
        <v>32</v>
      </c>
      <c r="F193" s="2">
        <v>1</v>
      </c>
      <c r="G193" s="25"/>
    </row>
    <row r="194" spans="1:7">
      <c r="A194" s="10" t="s">
        <v>41</v>
      </c>
      <c r="B194" s="11">
        <v>44212</v>
      </c>
      <c r="C194" s="10" t="s">
        <v>134</v>
      </c>
      <c r="D194" s="9" t="s">
        <v>30</v>
      </c>
      <c r="E194" s="25" t="s">
        <v>34</v>
      </c>
      <c r="F194" s="2">
        <v>1</v>
      </c>
      <c r="G194" s="25"/>
    </row>
    <row r="195" spans="1:7">
      <c r="A195" s="10" t="s">
        <v>41</v>
      </c>
      <c r="B195" s="11">
        <v>44212</v>
      </c>
      <c r="C195" s="10" t="s">
        <v>134</v>
      </c>
      <c r="D195" s="9" t="s">
        <v>30</v>
      </c>
      <c r="E195" s="25" t="s">
        <v>54</v>
      </c>
      <c r="F195" s="2">
        <v>3</v>
      </c>
      <c r="G195" s="25" t="s">
        <v>62</v>
      </c>
    </row>
    <row r="196" spans="1:7">
      <c r="A196" s="10" t="s">
        <v>59</v>
      </c>
      <c r="B196" s="11">
        <v>44216</v>
      </c>
      <c r="C196" s="10" t="s">
        <v>135</v>
      </c>
      <c r="D196" s="9" t="s">
        <v>36</v>
      </c>
      <c r="E196" s="25" t="s">
        <v>48</v>
      </c>
      <c r="F196" s="2">
        <v>1</v>
      </c>
      <c r="G196" s="25"/>
    </row>
    <row r="197" spans="1:7">
      <c r="A197" s="10" t="s">
        <v>59</v>
      </c>
      <c r="B197" s="11">
        <v>44216</v>
      </c>
      <c r="C197" s="10" t="s">
        <v>135</v>
      </c>
      <c r="D197" s="9" t="s">
        <v>30</v>
      </c>
      <c r="E197" s="25" t="s">
        <v>32</v>
      </c>
      <c r="F197" s="2">
        <v>9</v>
      </c>
      <c r="G197" s="25" t="s">
        <v>364</v>
      </c>
    </row>
    <row r="198" spans="1:7">
      <c r="A198" s="10" t="s">
        <v>59</v>
      </c>
      <c r="B198" s="11">
        <v>44216</v>
      </c>
      <c r="C198" s="10" t="s">
        <v>135</v>
      </c>
      <c r="D198" s="9" t="s">
        <v>30</v>
      </c>
      <c r="E198" s="25" t="s">
        <v>54</v>
      </c>
      <c r="F198" s="2">
        <v>7</v>
      </c>
      <c r="G198" s="25"/>
    </row>
    <row r="199" spans="1:7">
      <c r="A199" s="10" t="s">
        <v>59</v>
      </c>
      <c r="B199" s="11">
        <v>44216</v>
      </c>
      <c r="C199" s="10" t="s">
        <v>135</v>
      </c>
      <c r="D199" s="9" t="s">
        <v>38</v>
      </c>
      <c r="E199" s="25" t="s">
        <v>39</v>
      </c>
      <c r="F199" s="2">
        <v>8</v>
      </c>
      <c r="G199" s="25"/>
    </row>
    <row r="200" spans="1:7">
      <c r="A200" s="10" t="s">
        <v>59</v>
      </c>
      <c r="B200" s="11">
        <v>44217</v>
      </c>
      <c r="C200" s="10" t="s">
        <v>136</v>
      </c>
      <c r="D200" s="9" t="s">
        <v>36</v>
      </c>
      <c r="E200" s="25" t="s">
        <v>37</v>
      </c>
      <c r="F200" s="2">
        <v>1</v>
      </c>
      <c r="G200" s="25"/>
    </row>
    <row r="201" spans="1:7">
      <c r="A201" s="10" t="s">
        <v>59</v>
      </c>
      <c r="B201" s="11">
        <v>44217</v>
      </c>
      <c r="C201" s="10" t="s">
        <v>136</v>
      </c>
      <c r="D201" s="9" t="s">
        <v>30</v>
      </c>
      <c r="E201" s="25" t="s">
        <v>32</v>
      </c>
      <c r="F201" s="2">
        <v>1</v>
      </c>
      <c r="G201" s="25"/>
    </row>
    <row r="202" spans="1:7">
      <c r="A202" s="10" t="s">
        <v>59</v>
      </c>
      <c r="B202" s="11">
        <v>44217</v>
      </c>
      <c r="C202" s="10" t="s">
        <v>136</v>
      </c>
      <c r="D202" s="9" t="s">
        <v>30</v>
      </c>
      <c r="E202" s="25" t="s">
        <v>34</v>
      </c>
      <c r="F202" s="2">
        <v>1</v>
      </c>
      <c r="G202" s="25"/>
    </row>
    <row r="203" spans="1:7">
      <c r="A203" s="10" t="s">
        <v>59</v>
      </c>
      <c r="B203" s="11">
        <v>44217</v>
      </c>
      <c r="C203" s="10" t="s">
        <v>136</v>
      </c>
      <c r="D203" s="9" t="s">
        <v>30</v>
      </c>
      <c r="E203" s="25" t="s">
        <v>54</v>
      </c>
      <c r="F203" s="2">
        <v>3</v>
      </c>
      <c r="G203" s="25"/>
    </row>
    <row r="204" spans="1:7">
      <c r="A204" s="10" t="s">
        <v>59</v>
      </c>
      <c r="B204" s="11">
        <v>44217</v>
      </c>
      <c r="C204" s="10" t="s">
        <v>136</v>
      </c>
      <c r="D204" s="9" t="s">
        <v>38</v>
      </c>
      <c r="E204" s="25" t="s">
        <v>39</v>
      </c>
      <c r="F204" s="2">
        <v>2</v>
      </c>
      <c r="G204" s="25"/>
    </row>
    <row r="205" spans="1:7">
      <c r="A205" s="10" t="s">
        <v>59</v>
      </c>
      <c r="B205" s="11">
        <v>44217</v>
      </c>
      <c r="C205" s="10" t="s">
        <v>137</v>
      </c>
      <c r="D205" s="9" t="s">
        <v>30</v>
      </c>
      <c r="E205" s="25" t="s">
        <v>32</v>
      </c>
      <c r="F205" s="2">
        <v>1</v>
      </c>
      <c r="G205" s="25"/>
    </row>
    <row r="206" spans="1:7">
      <c r="A206" s="10" t="s">
        <v>59</v>
      </c>
      <c r="B206" s="11">
        <v>44217</v>
      </c>
      <c r="C206" s="10" t="s">
        <v>137</v>
      </c>
      <c r="D206" s="9" t="s">
        <v>30</v>
      </c>
      <c r="E206" s="25" t="s">
        <v>34</v>
      </c>
      <c r="F206" s="2">
        <v>2</v>
      </c>
      <c r="G206" s="25"/>
    </row>
    <row r="207" spans="1:7">
      <c r="A207" s="10" t="s">
        <v>59</v>
      </c>
      <c r="B207" s="11">
        <v>44218</v>
      </c>
      <c r="C207" s="10" t="s">
        <v>139</v>
      </c>
      <c r="D207" s="9" t="s">
        <v>30</v>
      </c>
      <c r="E207" s="25" t="s">
        <v>31</v>
      </c>
      <c r="F207" s="2">
        <v>2</v>
      </c>
      <c r="G207" s="25"/>
    </row>
    <row r="208" spans="1:7">
      <c r="A208" s="10" t="s">
        <v>59</v>
      </c>
      <c r="B208" s="11">
        <v>44218</v>
      </c>
      <c r="C208" s="10" t="s">
        <v>139</v>
      </c>
      <c r="D208" s="9" t="s">
        <v>30</v>
      </c>
      <c r="E208" s="25" t="s">
        <v>32</v>
      </c>
      <c r="F208" s="2">
        <v>1</v>
      </c>
      <c r="G208" s="25"/>
    </row>
    <row r="209" spans="1:7">
      <c r="A209" s="10" t="s">
        <v>59</v>
      </c>
      <c r="B209" s="11">
        <v>44218</v>
      </c>
      <c r="C209" s="10" t="s">
        <v>139</v>
      </c>
      <c r="D209" s="9" t="s">
        <v>30</v>
      </c>
      <c r="E209" s="25" t="s">
        <v>34</v>
      </c>
      <c r="F209" s="2">
        <v>1</v>
      </c>
      <c r="G209" s="25"/>
    </row>
    <row r="210" spans="1:7">
      <c r="A210" s="10" t="s">
        <v>59</v>
      </c>
      <c r="B210" s="11">
        <v>44218</v>
      </c>
      <c r="C210" s="10" t="s">
        <v>139</v>
      </c>
      <c r="D210" s="9" t="s">
        <v>30</v>
      </c>
      <c r="E210" s="25" t="s">
        <v>54</v>
      </c>
      <c r="F210" s="2">
        <v>1</v>
      </c>
      <c r="G210" s="25"/>
    </row>
    <row r="211" spans="1:7">
      <c r="A211" s="10" t="s">
        <v>59</v>
      </c>
      <c r="B211" s="11">
        <v>44218</v>
      </c>
      <c r="C211" s="10" t="s">
        <v>139</v>
      </c>
      <c r="D211" s="9" t="s">
        <v>38</v>
      </c>
      <c r="E211" s="25" t="s">
        <v>39</v>
      </c>
      <c r="F211" s="2">
        <v>14</v>
      </c>
      <c r="G211" s="25"/>
    </row>
    <row r="212" spans="1:7">
      <c r="A212" s="10" t="s">
        <v>59</v>
      </c>
      <c r="B212" s="11">
        <v>44219</v>
      </c>
      <c r="C212" s="10" t="s">
        <v>141</v>
      </c>
      <c r="D212" s="9" t="s">
        <v>36</v>
      </c>
      <c r="E212" s="25" t="s">
        <v>37</v>
      </c>
      <c r="F212" s="2">
        <v>1</v>
      </c>
      <c r="G212" s="25"/>
    </row>
    <row r="213" spans="1:7">
      <c r="A213" s="10" t="s">
        <v>86</v>
      </c>
      <c r="B213" s="11">
        <v>44219</v>
      </c>
      <c r="C213" s="10" t="s">
        <v>147</v>
      </c>
      <c r="D213" s="9" t="s">
        <v>30</v>
      </c>
      <c r="E213" s="25" t="s">
        <v>31</v>
      </c>
      <c r="F213" s="2">
        <v>2</v>
      </c>
      <c r="G213" s="25"/>
    </row>
    <row r="214" spans="1:7">
      <c r="A214" s="10" t="s">
        <v>86</v>
      </c>
      <c r="B214" s="11">
        <v>44219</v>
      </c>
      <c r="C214" s="10" t="s">
        <v>140</v>
      </c>
      <c r="D214" s="9" t="s">
        <v>30</v>
      </c>
      <c r="E214" s="25" t="s">
        <v>54</v>
      </c>
      <c r="F214" s="2">
        <v>3</v>
      </c>
      <c r="G214" s="25"/>
    </row>
    <row r="215" spans="1:7">
      <c r="A215" s="10" t="s">
        <v>86</v>
      </c>
      <c r="B215" s="11">
        <v>44219</v>
      </c>
      <c r="C215" s="10" t="s">
        <v>140</v>
      </c>
      <c r="D215" s="9" t="s">
        <v>38</v>
      </c>
      <c r="E215" s="25" t="s">
        <v>39</v>
      </c>
      <c r="F215" s="2">
        <f>2+15+4+2+8+4+5</f>
        <v>40</v>
      </c>
      <c r="G215" s="25"/>
    </row>
    <row r="216" spans="1:7">
      <c r="A216" s="10" t="s">
        <v>86</v>
      </c>
      <c r="B216" s="11">
        <v>44219</v>
      </c>
      <c r="C216" s="10" t="s">
        <v>140</v>
      </c>
      <c r="D216" s="1" t="s">
        <v>38</v>
      </c>
      <c r="E216" s="25" t="s">
        <v>52</v>
      </c>
      <c r="F216" s="2">
        <v>3</v>
      </c>
      <c r="G216" s="25"/>
    </row>
    <row r="217" spans="1:7">
      <c r="A217" s="10" t="s">
        <v>86</v>
      </c>
      <c r="B217" s="11">
        <v>44219</v>
      </c>
      <c r="C217" s="10" t="s">
        <v>142</v>
      </c>
      <c r="D217" s="1" t="s">
        <v>36</v>
      </c>
      <c r="E217" s="25" t="s">
        <v>48</v>
      </c>
      <c r="F217" s="2">
        <v>1</v>
      </c>
      <c r="G217" s="25"/>
    </row>
    <row r="218" spans="1:7">
      <c r="A218" s="10" t="s">
        <v>86</v>
      </c>
      <c r="B218" s="11">
        <v>44219</v>
      </c>
      <c r="C218" s="10" t="s">
        <v>142</v>
      </c>
      <c r="D218" s="1" t="s">
        <v>205</v>
      </c>
      <c r="E218" s="25" t="s">
        <v>85</v>
      </c>
      <c r="F218" s="2">
        <v>1</v>
      </c>
      <c r="G218" s="25"/>
    </row>
    <row r="219" spans="1:7">
      <c r="A219" s="10" t="s">
        <v>86</v>
      </c>
      <c r="B219" s="11">
        <v>44219</v>
      </c>
      <c r="C219" s="10" t="s">
        <v>148</v>
      </c>
      <c r="D219" s="1" t="s">
        <v>30</v>
      </c>
      <c r="E219" s="25" t="s">
        <v>32</v>
      </c>
      <c r="F219" s="2">
        <v>1</v>
      </c>
      <c r="G219" s="25"/>
    </row>
    <row r="220" spans="1:7">
      <c r="A220" s="10" t="s">
        <v>86</v>
      </c>
      <c r="B220" s="11">
        <v>44219</v>
      </c>
      <c r="C220" s="10" t="s">
        <v>148</v>
      </c>
      <c r="D220" s="1" t="s">
        <v>30</v>
      </c>
      <c r="E220" s="25" t="s">
        <v>54</v>
      </c>
      <c r="F220" s="2">
        <v>2</v>
      </c>
      <c r="G220" s="25"/>
    </row>
    <row r="221" spans="1:7">
      <c r="A221" s="10" t="s">
        <v>86</v>
      </c>
      <c r="B221" s="11">
        <v>44219</v>
      </c>
      <c r="C221" s="10" t="s">
        <v>142</v>
      </c>
      <c r="D221" s="1" t="s">
        <v>38</v>
      </c>
      <c r="E221" s="25" t="s">
        <v>39</v>
      </c>
      <c r="F221" s="2">
        <v>6</v>
      </c>
      <c r="G221" s="25"/>
    </row>
    <row r="222" spans="1:7">
      <c r="A222" s="10" t="s">
        <v>86</v>
      </c>
      <c r="B222" s="11">
        <v>44219</v>
      </c>
      <c r="C222" s="10" t="s">
        <v>142</v>
      </c>
      <c r="D222" s="1" t="s">
        <v>38</v>
      </c>
      <c r="E222" s="25" t="s">
        <v>52</v>
      </c>
      <c r="F222" s="2">
        <v>2</v>
      </c>
      <c r="G222" s="25"/>
    </row>
    <row r="223" spans="1:7">
      <c r="A223" s="10" t="s">
        <v>86</v>
      </c>
      <c r="B223" s="11">
        <v>44219</v>
      </c>
      <c r="C223" s="10" t="s">
        <v>150</v>
      </c>
      <c r="D223" s="1" t="s">
        <v>50</v>
      </c>
      <c r="E223" s="25" t="s">
        <v>85</v>
      </c>
      <c r="F223" s="2">
        <v>1</v>
      </c>
      <c r="G223" s="25"/>
    </row>
    <row r="224" spans="1:7">
      <c r="A224" s="10" t="s">
        <v>86</v>
      </c>
      <c r="B224" s="11">
        <v>44219</v>
      </c>
      <c r="C224" s="10" t="s">
        <v>150</v>
      </c>
      <c r="D224" s="1" t="s">
        <v>30</v>
      </c>
      <c r="E224" s="24" t="s">
        <v>202</v>
      </c>
      <c r="F224" s="2">
        <v>1</v>
      </c>
      <c r="G224" s="25" t="s">
        <v>151</v>
      </c>
    </row>
    <row r="225" spans="1:7">
      <c r="A225" s="10" t="s">
        <v>86</v>
      </c>
      <c r="B225" s="11">
        <v>44219</v>
      </c>
      <c r="C225" s="10" t="s">
        <v>150</v>
      </c>
      <c r="D225" s="1" t="s">
        <v>30</v>
      </c>
      <c r="E225" s="25" t="s">
        <v>34</v>
      </c>
      <c r="F225" s="2">
        <v>1</v>
      </c>
      <c r="G225" s="25"/>
    </row>
    <row r="226" spans="1:7">
      <c r="A226" s="10" t="s">
        <v>86</v>
      </c>
      <c r="B226" s="11">
        <v>44219</v>
      </c>
      <c r="C226" s="10" t="s">
        <v>150</v>
      </c>
      <c r="D226" s="1" t="s">
        <v>38</v>
      </c>
      <c r="E226" s="25" t="s">
        <v>39</v>
      </c>
      <c r="F226" s="2">
        <v>7</v>
      </c>
      <c r="G226" s="25"/>
    </row>
    <row r="227" spans="1:7">
      <c r="A227" s="10" t="s">
        <v>86</v>
      </c>
      <c r="B227" s="11">
        <v>44219</v>
      </c>
      <c r="C227" s="10" t="s">
        <v>144</v>
      </c>
      <c r="D227" s="1" t="s">
        <v>36</v>
      </c>
      <c r="E227" s="25" t="s">
        <v>48</v>
      </c>
      <c r="F227" s="2">
        <v>1</v>
      </c>
      <c r="G227" s="25"/>
    </row>
    <row r="228" spans="1:7">
      <c r="A228" s="10" t="s">
        <v>86</v>
      </c>
      <c r="B228" s="11">
        <v>44219</v>
      </c>
      <c r="C228" s="10" t="s">
        <v>144</v>
      </c>
      <c r="D228" s="1" t="s">
        <v>36</v>
      </c>
      <c r="E228" s="25" t="s">
        <v>152</v>
      </c>
      <c r="F228" s="2">
        <v>1</v>
      </c>
      <c r="G228" s="25"/>
    </row>
    <row r="229" spans="1:7">
      <c r="A229" s="10" t="s">
        <v>86</v>
      </c>
      <c r="B229" s="11">
        <v>44219</v>
      </c>
      <c r="C229" s="10" t="s">
        <v>144</v>
      </c>
      <c r="D229" s="1" t="s">
        <v>50</v>
      </c>
      <c r="E229" s="25" t="s">
        <v>155</v>
      </c>
      <c r="F229" s="2">
        <v>1</v>
      </c>
      <c r="G229" s="25" t="s">
        <v>365</v>
      </c>
    </row>
    <row r="230" spans="1:7">
      <c r="A230" s="10" t="s">
        <v>86</v>
      </c>
      <c r="B230" s="11">
        <v>44219</v>
      </c>
      <c r="C230" s="10" t="s">
        <v>144</v>
      </c>
      <c r="D230" s="1" t="s">
        <v>205</v>
      </c>
      <c r="E230" s="25" t="s">
        <v>156</v>
      </c>
      <c r="F230" s="2">
        <v>1</v>
      </c>
      <c r="G230" s="25"/>
    </row>
    <row r="231" spans="1:7">
      <c r="A231" s="10" t="s">
        <v>86</v>
      </c>
      <c r="B231" s="11">
        <v>44219</v>
      </c>
      <c r="C231" s="10" t="s">
        <v>153</v>
      </c>
      <c r="D231" s="1" t="s">
        <v>30</v>
      </c>
      <c r="E231" s="25" t="s">
        <v>31</v>
      </c>
      <c r="F231" s="2">
        <v>1</v>
      </c>
      <c r="G231" s="25"/>
    </row>
    <row r="232" spans="1:7">
      <c r="A232" s="10" t="s">
        <v>86</v>
      </c>
      <c r="B232" s="11">
        <v>44219</v>
      </c>
      <c r="C232" s="10" t="s">
        <v>153</v>
      </c>
      <c r="D232" s="1" t="s">
        <v>30</v>
      </c>
      <c r="E232" s="25" t="s">
        <v>32</v>
      </c>
      <c r="F232" s="2">
        <v>2</v>
      </c>
      <c r="G232" s="25"/>
    </row>
    <row r="233" spans="1:7">
      <c r="A233" s="10" t="s">
        <v>86</v>
      </c>
      <c r="B233" s="11">
        <v>44219</v>
      </c>
      <c r="C233" s="10" t="s">
        <v>153</v>
      </c>
      <c r="D233" s="1" t="s">
        <v>30</v>
      </c>
      <c r="E233" s="24" t="s">
        <v>202</v>
      </c>
      <c r="F233" s="2">
        <v>1</v>
      </c>
      <c r="G233" s="25" t="s">
        <v>154</v>
      </c>
    </row>
    <row r="234" spans="1:7">
      <c r="A234" s="10" t="s">
        <v>86</v>
      </c>
      <c r="B234" s="11">
        <v>44219</v>
      </c>
      <c r="C234" s="10" t="s">
        <v>144</v>
      </c>
      <c r="D234" s="1" t="s">
        <v>30</v>
      </c>
      <c r="E234" s="25" t="s">
        <v>34</v>
      </c>
      <c r="F234" s="2">
        <v>8</v>
      </c>
      <c r="G234" s="25"/>
    </row>
    <row r="235" spans="1:7">
      <c r="A235" s="10" t="s">
        <v>86</v>
      </c>
      <c r="B235" s="11">
        <v>44219</v>
      </c>
      <c r="C235" s="10" t="s">
        <v>153</v>
      </c>
      <c r="D235" s="1" t="s">
        <v>30</v>
      </c>
      <c r="E235" s="25" t="s">
        <v>54</v>
      </c>
      <c r="F235" s="2">
        <v>1</v>
      </c>
      <c r="G235" s="25"/>
    </row>
    <row r="236" spans="1:7">
      <c r="A236" s="10" t="s">
        <v>86</v>
      </c>
      <c r="B236" s="11">
        <v>44219</v>
      </c>
      <c r="C236" s="10" t="s">
        <v>153</v>
      </c>
      <c r="D236" s="1" t="s">
        <v>38</v>
      </c>
      <c r="E236" s="25" t="s">
        <v>39</v>
      </c>
      <c r="F236" s="2">
        <v>15</v>
      </c>
      <c r="G236" s="25"/>
    </row>
    <row r="237" spans="1:7">
      <c r="A237" s="10" t="s">
        <v>86</v>
      </c>
      <c r="B237" s="11">
        <v>44219</v>
      </c>
      <c r="C237" s="10" t="s">
        <v>144</v>
      </c>
      <c r="D237" s="1" t="s">
        <v>38</v>
      </c>
      <c r="E237" s="25" t="s">
        <v>52</v>
      </c>
      <c r="F237" s="2">
        <v>3</v>
      </c>
      <c r="G237" s="25"/>
    </row>
    <row r="238" spans="1:7">
      <c r="A238" s="10" t="s">
        <v>86</v>
      </c>
      <c r="B238" s="11">
        <v>44219</v>
      </c>
      <c r="C238" s="10" t="s">
        <v>145</v>
      </c>
      <c r="D238" s="1" t="s">
        <v>30</v>
      </c>
      <c r="E238" s="25" t="s">
        <v>34</v>
      </c>
      <c r="F238" s="2">
        <v>1</v>
      </c>
      <c r="G238" s="25"/>
    </row>
    <row r="239" spans="1:7">
      <c r="A239" s="10" t="s">
        <v>86</v>
      </c>
      <c r="B239" s="11">
        <v>44219</v>
      </c>
      <c r="C239" s="10" t="s">
        <v>145</v>
      </c>
      <c r="D239" s="1" t="s">
        <v>30</v>
      </c>
      <c r="E239" s="25" t="s">
        <v>54</v>
      </c>
      <c r="F239" s="2">
        <v>2</v>
      </c>
      <c r="G239" s="25"/>
    </row>
    <row r="240" spans="1:7">
      <c r="A240" s="10" t="s">
        <v>86</v>
      </c>
      <c r="B240" s="11">
        <v>44219</v>
      </c>
      <c r="C240" s="10" t="s">
        <v>146</v>
      </c>
      <c r="D240" s="1" t="s">
        <v>30</v>
      </c>
      <c r="E240" s="25" t="s">
        <v>31</v>
      </c>
      <c r="F240" s="2">
        <v>1</v>
      </c>
      <c r="G240" s="25"/>
    </row>
    <row r="241" spans="1:7">
      <c r="A241" s="10" t="s">
        <v>86</v>
      </c>
      <c r="B241" s="11">
        <v>44219</v>
      </c>
      <c r="C241" s="10" t="s">
        <v>146</v>
      </c>
      <c r="D241" s="1" t="s">
        <v>30</v>
      </c>
      <c r="E241" s="25" t="s">
        <v>34</v>
      </c>
      <c r="F241" s="2">
        <v>8</v>
      </c>
      <c r="G241" s="25" t="s">
        <v>157</v>
      </c>
    </row>
    <row r="242" spans="1:7">
      <c r="A242" s="10"/>
      <c r="B242" s="11"/>
    </row>
    <row r="243" spans="1:7">
      <c r="A243" s="10"/>
      <c r="B243" s="11"/>
    </row>
    <row r="244" spans="1:7">
      <c r="A244" s="10"/>
    </row>
    <row r="245" spans="1:7">
      <c r="A245" s="10"/>
    </row>
  </sheetData>
  <sortState ref="A2:G241">
    <sortCondition ref="B2:B241"/>
    <sortCondition ref="A2:A241"/>
    <sortCondition ref="C2:C241"/>
    <sortCondition ref="D2:D241"/>
    <sortCondition ref="E2:E24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Drifting Trash_Info</vt:lpstr>
      <vt:lpstr>Drifting Debris_Count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2021-02-01T09:00:03Z</dcterms:modified>
</cp:coreProperties>
</file>