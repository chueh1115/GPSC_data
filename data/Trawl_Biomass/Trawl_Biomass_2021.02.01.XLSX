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3250" windowHeight="12570" activeTab="3"/>
  </bookViews>
  <sheets>
    <sheet name="Fish" sheetId="2" r:id="rId1"/>
    <sheet name="Crustacean" sheetId="3" r:id="rId2"/>
    <sheet name="Mollusca" sheetId="5" r:id="rId3"/>
    <sheet name="Cnidaria" sheetId="8" r:id="rId4"/>
    <sheet name="Echinodermata" sheetId="7" r:id="rId5"/>
    <sheet name="Porifera" sheetId="10" r:id="rId6"/>
    <sheet name="Others" sheetId="4" r:id="rId7"/>
    <sheet name="總紀錄表" sheetId="6" r:id="rId8"/>
    <sheet name="Trawl_Info" sheetId="9" r:id="rId9"/>
  </sheets>
  <definedNames>
    <definedName name="_xlnm._FilterDatabase" localSheetId="1" hidden="1">Crustacean!$B$1:$L$57</definedName>
    <definedName name="_xlnm._FilterDatabase" localSheetId="0" hidden="1">Fish!$B$1:$L$47</definedName>
    <definedName name="_xlnm._FilterDatabase" localSheetId="2" hidden="1">Mollusca!$B$1:$L$72</definedName>
    <definedName name="_xlnm._FilterDatabase" localSheetId="6" hidden="1">Others!$B$1:$L$70</definedName>
    <definedName name="_xlnm._FilterDatabase" localSheetId="7" hidden="1">總紀錄表!$B$1:$L$44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6" l="1"/>
  <c r="J46" i="2" l="1"/>
  <c r="I41" i="8"/>
  <c r="J176" i="3"/>
  <c r="I12" i="10"/>
  <c r="J119" i="5"/>
  <c r="R36" i="9" l="1"/>
  <c r="Q36" i="9"/>
  <c r="N36" i="9"/>
  <c r="M36" i="9"/>
  <c r="H36" i="9"/>
  <c r="G36" i="9"/>
  <c r="E36" i="9"/>
  <c r="D36" i="9"/>
  <c r="R35" i="9"/>
  <c r="Q35" i="9"/>
  <c r="N35" i="9"/>
  <c r="M35" i="9"/>
  <c r="H35" i="9"/>
  <c r="G35" i="9"/>
  <c r="E35" i="9"/>
  <c r="D35" i="9"/>
  <c r="R34" i="9"/>
  <c r="Q34" i="9"/>
  <c r="N34" i="9"/>
  <c r="M34" i="9"/>
  <c r="H34" i="9"/>
  <c r="G34" i="9"/>
  <c r="E34" i="9"/>
  <c r="D34" i="9"/>
  <c r="R33" i="9"/>
  <c r="Q33" i="9"/>
  <c r="N33" i="9"/>
  <c r="M33" i="9"/>
  <c r="H33" i="9"/>
  <c r="G33" i="9"/>
  <c r="E33" i="9"/>
  <c r="D33" i="9"/>
  <c r="R32" i="9"/>
  <c r="Q32" i="9"/>
  <c r="N32" i="9"/>
  <c r="M32" i="9"/>
  <c r="H32" i="9"/>
  <c r="G32" i="9"/>
  <c r="E32" i="9"/>
  <c r="D32" i="9"/>
  <c r="R31" i="9"/>
  <c r="Q31" i="9"/>
  <c r="N31" i="9"/>
  <c r="M31" i="9"/>
  <c r="H31" i="9"/>
  <c r="G31" i="9"/>
  <c r="E31" i="9"/>
  <c r="D31" i="9"/>
  <c r="R28" i="9"/>
  <c r="Q28" i="9"/>
  <c r="N28" i="9"/>
  <c r="M28" i="9"/>
  <c r="H28" i="9"/>
  <c r="G28" i="9"/>
  <c r="E28" i="9"/>
  <c r="D28" i="9"/>
  <c r="R27" i="9"/>
  <c r="Q27" i="9"/>
  <c r="N27" i="9"/>
  <c r="M27" i="9"/>
  <c r="H27" i="9"/>
  <c r="G27" i="9"/>
  <c r="E27" i="9"/>
  <c r="D27" i="9"/>
  <c r="R26" i="9"/>
  <c r="Q26" i="9"/>
  <c r="N26" i="9"/>
  <c r="M26" i="9"/>
  <c r="H26" i="9"/>
  <c r="G26" i="9"/>
  <c r="E26" i="9"/>
  <c r="D26" i="9"/>
  <c r="N25" i="9"/>
  <c r="M25" i="9"/>
  <c r="H25" i="9"/>
  <c r="G25" i="9"/>
  <c r="E25" i="9"/>
  <c r="D25" i="9"/>
  <c r="R24" i="9"/>
  <c r="Q24" i="9"/>
  <c r="N24" i="9"/>
  <c r="M24" i="9"/>
  <c r="H24" i="9"/>
  <c r="G24" i="9"/>
  <c r="E24" i="9"/>
  <c r="D24" i="9"/>
  <c r="R23" i="9"/>
  <c r="Q23" i="9"/>
  <c r="N23" i="9"/>
  <c r="M23" i="9"/>
  <c r="H23" i="9"/>
  <c r="G23" i="9"/>
  <c r="E23" i="9"/>
  <c r="D23" i="9"/>
  <c r="R22" i="9"/>
  <c r="Q22" i="9"/>
  <c r="N22" i="9"/>
  <c r="M22" i="9"/>
  <c r="H22" i="9"/>
  <c r="G22" i="9"/>
  <c r="E22" i="9"/>
  <c r="D22" i="9"/>
  <c r="R21" i="9"/>
  <c r="Q21" i="9"/>
  <c r="N21" i="9"/>
  <c r="M21" i="9"/>
  <c r="H21" i="9"/>
  <c r="G21" i="9"/>
  <c r="E21" i="9"/>
  <c r="D21" i="9"/>
  <c r="R20" i="9"/>
  <c r="Q20" i="9"/>
  <c r="N20" i="9"/>
  <c r="M20" i="9"/>
  <c r="H20" i="9"/>
  <c r="G20" i="9"/>
  <c r="E20" i="9"/>
  <c r="D20" i="9"/>
  <c r="R19" i="9"/>
  <c r="Q19" i="9"/>
  <c r="N19" i="9"/>
  <c r="M19" i="9"/>
  <c r="H19" i="9"/>
  <c r="G19" i="9"/>
  <c r="E19" i="9"/>
  <c r="D19" i="9"/>
  <c r="R18" i="9"/>
  <c r="Q18" i="9"/>
  <c r="N18" i="9"/>
  <c r="M18" i="9"/>
  <c r="H18" i="9"/>
  <c r="G18" i="9"/>
  <c r="E18" i="9"/>
  <c r="D18" i="9"/>
  <c r="R17" i="9"/>
  <c r="Q17" i="9"/>
  <c r="N17" i="9"/>
  <c r="M17" i="9"/>
  <c r="H17" i="9"/>
  <c r="G17" i="9"/>
  <c r="E17" i="9"/>
  <c r="D17" i="9"/>
  <c r="R16" i="9"/>
  <c r="Q16" i="9"/>
  <c r="N16" i="9"/>
  <c r="M16" i="9"/>
  <c r="H16" i="9"/>
  <c r="G16" i="9"/>
  <c r="E16" i="9"/>
  <c r="D16" i="9"/>
  <c r="R15" i="9"/>
  <c r="Q15" i="9"/>
  <c r="N15" i="9"/>
  <c r="M15" i="9"/>
  <c r="E15" i="9"/>
  <c r="D15" i="9"/>
  <c r="R14" i="9"/>
  <c r="Q14" i="9"/>
  <c r="N14" i="9"/>
  <c r="M14" i="9"/>
  <c r="H14" i="9"/>
  <c r="G14" i="9"/>
  <c r="E14" i="9"/>
  <c r="D14" i="9"/>
  <c r="R13" i="9"/>
  <c r="Q13" i="9"/>
  <c r="N13" i="9"/>
  <c r="M13" i="9"/>
  <c r="H13" i="9"/>
  <c r="G13" i="9"/>
  <c r="E13" i="9"/>
  <c r="D13" i="9"/>
  <c r="R12" i="9"/>
  <c r="Q12" i="9"/>
  <c r="N12" i="9"/>
  <c r="M12" i="9"/>
  <c r="H12" i="9"/>
  <c r="G12" i="9"/>
  <c r="E12" i="9"/>
  <c r="D12" i="9"/>
  <c r="N11" i="9"/>
  <c r="M11" i="9"/>
  <c r="E11" i="9"/>
  <c r="D11" i="9"/>
  <c r="R10" i="9"/>
  <c r="Q10" i="9"/>
  <c r="N10" i="9"/>
  <c r="M10" i="9"/>
  <c r="H10" i="9"/>
  <c r="G10" i="9"/>
  <c r="E10" i="9"/>
  <c r="D10" i="9"/>
  <c r="R9" i="9"/>
  <c r="Q9" i="9"/>
  <c r="N9" i="9"/>
  <c r="M9" i="9"/>
  <c r="H9" i="9"/>
  <c r="G9" i="9"/>
  <c r="E9" i="9"/>
  <c r="D9" i="9"/>
  <c r="R8" i="9"/>
  <c r="Q8" i="9"/>
  <c r="N8" i="9"/>
  <c r="M8" i="9"/>
  <c r="H8" i="9"/>
  <c r="G8" i="9"/>
  <c r="E8" i="9"/>
  <c r="D8" i="9"/>
  <c r="R7" i="9"/>
  <c r="Q7" i="9"/>
  <c r="N7" i="9"/>
  <c r="M7" i="9"/>
  <c r="H7" i="9"/>
  <c r="G7" i="9"/>
  <c r="E7" i="9"/>
  <c r="D7" i="9"/>
  <c r="R6" i="9"/>
  <c r="Q6" i="9"/>
  <c r="N6" i="9"/>
  <c r="M6" i="9"/>
  <c r="H6" i="9"/>
  <c r="G6" i="9"/>
  <c r="E6" i="9"/>
  <c r="D6" i="9"/>
  <c r="R5" i="9"/>
  <c r="Q5" i="9"/>
  <c r="N5" i="9"/>
  <c r="M5" i="9"/>
  <c r="H5" i="9"/>
  <c r="G5" i="9"/>
  <c r="E5" i="9"/>
  <c r="D5" i="9"/>
  <c r="R4" i="9"/>
  <c r="Q4" i="9"/>
  <c r="N4" i="9"/>
  <c r="M4" i="9"/>
  <c r="H4" i="9"/>
  <c r="G4" i="9"/>
  <c r="E4" i="9"/>
  <c r="D4" i="9"/>
  <c r="R3" i="9"/>
  <c r="Q3" i="9"/>
  <c r="N3" i="9"/>
  <c r="M3" i="9"/>
  <c r="H3" i="9"/>
  <c r="G3" i="9"/>
  <c r="E3" i="9"/>
  <c r="D3" i="9"/>
  <c r="R2" i="9"/>
  <c r="Q2" i="9"/>
  <c r="N2" i="9"/>
  <c r="M2" i="9"/>
  <c r="H2" i="9"/>
  <c r="G2" i="9"/>
  <c r="E2" i="9"/>
  <c r="D2" i="9"/>
  <c r="I200" i="3" l="1"/>
</calcChain>
</file>

<file path=xl/sharedStrings.xml><?xml version="1.0" encoding="utf-8"?>
<sst xmlns="http://schemas.openxmlformats.org/spreadsheetml/2006/main" count="3862" uniqueCount="788">
  <si>
    <t>Tow ID</t>
  </si>
  <si>
    <t xml:space="preserve">Species/Common Name </t>
  </si>
  <si>
    <t>Weight(g)</t>
  </si>
  <si>
    <t>Abundance</t>
  </si>
  <si>
    <t>Preservative/Quantity</t>
  </si>
  <si>
    <t>Notes</t>
  </si>
  <si>
    <t>Order</t>
    <phoneticPr fontId="7" type="noConversion"/>
  </si>
  <si>
    <t>Family</t>
    <phoneticPr fontId="7" type="noConversion"/>
  </si>
  <si>
    <t>Class</t>
    <phoneticPr fontId="7" type="noConversion"/>
  </si>
  <si>
    <t>Cruise</t>
    <phoneticPr fontId="7" type="noConversion"/>
  </si>
  <si>
    <t xml:space="preserve">Sample ID </t>
    <phoneticPr fontId="7" type="noConversion"/>
  </si>
  <si>
    <t>Ex:DW4187</t>
    <phoneticPr fontId="7" type="noConversion"/>
  </si>
  <si>
    <t>Phylum</t>
  </si>
  <si>
    <r>
      <t>Ex: Ophiuroidea</t>
    </r>
    <r>
      <rPr>
        <sz val="10"/>
        <color theme="0" tint="-0.34998626667073579"/>
        <rFont val="新細明體"/>
        <family val="2"/>
        <charset val="136"/>
        <scheme val="minor"/>
      </rPr>
      <t xml:space="preserve"> A</t>
    </r>
    <phoneticPr fontId="7" type="noConversion"/>
  </si>
  <si>
    <t>Ex: Brittle Stars</t>
    <phoneticPr fontId="7" type="noConversion"/>
  </si>
  <si>
    <t>Ex: Echinodermata</t>
    <phoneticPr fontId="7" type="noConversion"/>
  </si>
  <si>
    <t>Ex: Ophiuroida</t>
    <phoneticPr fontId="7" type="noConversion"/>
  </si>
  <si>
    <t>Ex: Photo number</t>
    <phoneticPr fontId="7" type="noConversion"/>
  </si>
  <si>
    <t>Tow ID</t>
    <phoneticPr fontId="7" type="noConversion"/>
  </si>
  <si>
    <t>CP4210</t>
  </si>
  <si>
    <t>CP4210</t>
    <phoneticPr fontId="7" type="noConversion"/>
  </si>
  <si>
    <t>海綿</t>
    <phoneticPr fontId="7" type="noConversion"/>
  </si>
  <si>
    <t>蝦蟹</t>
    <phoneticPr fontId="7" type="noConversion"/>
  </si>
  <si>
    <t>海星</t>
    <phoneticPr fontId="7" type="noConversion"/>
  </si>
  <si>
    <t>海膽</t>
    <phoneticPr fontId="7" type="noConversion"/>
  </si>
  <si>
    <t>海參</t>
    <phoneticPr fontId="7" type="noConversion"/>
  </si>
  <si>
    <t>陽隧足</t>
    <phoneticPr fontId="7" type="noConversion"/>
  </si>
  <si>
    <t>海百合</t>
    <phoneticPr fontId="7" type="noConversion"/>
  </si>
  <si>
    <t>硬珊瑚</t>
    <phoneticPr fontId="7" type="noConversion"/>
  </si>
  <si>
    <t>軟珊瑚</t>
    <phoneticPr fontId="7" type="noConversion"/>
  </si>
  <si>
    <t>軟體</t>
    <phoneticPr fontId="7" type="noConversion"/>
  </si>
  <si>
    <t>NOR1_T004</t>
  </si>
  <si>
    <t>NOR1_T004</t>
    <phoneticPr fontId="7" type="noConversion"/>
  </si>
  <si>
    <t>魚</t>
  </si>
  <si>
    <t>魚</t>
    <phoneticPr fontId="7" type="noConversion"/>
  </si>
  <si>
    <t>CP4211</t>
  </si>
  <si>
    <t>CP4211</t>
    <phoneticPr fontId="7" type="noConversion"/>
  </si>
  <si>
    <t>海葵</t>
    <phoneticPr fontId="7" type="noConversion"/>
  </si>
  <si>
    <t>陽隧足</t>
    <phoneticPr fontId="7" type="noConversion"/>
  </si>
  <si>
    <t>海星</t>
    <phoneticPr fontId="7" type="noConversion"/>
  </si>
  <si>
    <t>蝦蟹</t>
    <phoneticPr fontId="7" type="noConversion"/>
  </si>
  <si>
    <t>CP4212</t>
  </si>
  <si>
    <t>CP4212</t>
    <phoneticPr fontId="7" type="noConversion"/>
  </si>
  <si>
    <t>海綿</t>
    <phoneticPr fontId="7" type="noConversion"/>
  </si>
  <si>
    <t>多毛類</t>
    <phoneticPr fontId="7" type="noConversion"/>
  </si>
  <si>
    <t>軟體</t>
    <phoneticPr fontId="7" type="noConversion"/>
  </si>
  <si>
    <t>軟珊瑚</t>
    <phoneticPr fontId="7" type="noConversion"/>
  </si>
  <si>
    <t>石珊瑚</t>
    <phoneticPr fontId="7" type="noConversion"/>
  </si>
  <si>
    <t>海膽</t>
    <phoneticPr fontId="7" type="noConversion"/>
  </si>
  <si>
    <t>藤壺</t>
    <phoneticPr fontId="7" type="noConversion"/>
  </si>
  <si>
    <t>海百合</t>
    <phoneticPr fontId="7" type="noConversion"/>
  </si>
  <si>
    <t>CP4213</t>
  </si>
  <si>
    <t>海參</t>
    <phoneticPr fontId="7" type="noConversion"/>
  </si>
  <si>
    <t>海鞭</t>
    <phoneticPr fontId="7" type="noConversion"/>
  </si>
  <si>
    <t>刺絲胞</t>
    <phoneticPr fontId="7" type="noConversion"/>
  </si>
  <si>
    <t>水母</t>
    <phoneticPr fontId="7" type="noConversion"/>
  </si>
  <si>
    <t>Serranidae</t>
  </si>
  <si>
    <t>Scorpaenidae</t>
  </si>
  <si>
    <t> Callionymidae</t>
  </si>
  <si>
    <t>Bothidae</t>
  </si>
  <si>
    <t>Cepolidae</t>
  </si>
  <si>
    <t>Acropomatidae</t>
  </si>
  <si>
    <t>Cynoglossidae</t>
    <phoneticPr fontId="7" type="noConversion"/>
  </si>
  <si>
    <t>DW4187</t>
  </si>
  <si>
    <t>Echinodermata</t>
  </si>
  <si>
    <t>Ophiuroida</t>
    <phoneticPr fontId="7" type="noConversion"/>
  </si>
  <si>
    <t>Brittle Stars</t>
    <phoneticPr fontId="7" type="noConversion"/>
  </si>
  <si>
    <r>
      <t>D</t>
    </r>
    <r>
      <rPr>
        <sz val="12"/>
        <color theme="1"/>
        <rFont val="新細明體"/>
        <family val="2"/>
        <charset val="136"/>
        <scheme val="minor"/>
      </rPr>
      <t>SC_3682</t>
    </r>
  </si>
  <si>
    <t>CP4188</t>
  </si>
  <si>
    <r>
      <t>D</t>
    </r>
    <r>
      <rPr>
        <sz val="12"/>
        <color theme="1"/>
        <rFont val="新細明體"/>
        <family val="2"/>
        <charset val="136"/>
        <scheme val="minor"/>
      </rPr>
      <t>SC_3690~3692</t>
    </r>
  </si>
  <si>
    <t>Asteroidea V</t>
  </si>
  <si>
    <t>Asteroidea</t>
    <phoneticPr fontId="7" type="noConversion"/>
  </si>
  <si>
    <t>Sea Stars</t>
    <phoneticPr fontId="7" type="noConversion"/>
  </si>
  <si>
    <r>
      <t>DSC_3</t>
    </r>
    <r>
      <rPr>
        <sz val="12"/>
        <color theme="1"/>
        <rFont val="新細明體"/>
        <family val="2"/>
        <charset val="136"/>
        <scheme val="minor"/>
      </rPr>
      <t>694</t>
    </r>
  </si>
  <si>
    <t>Pennatulacea</t>
  </si>
  <si>
    <t>Cnidaria</t>
  </si>
  <si>
    <t>Anthozoa</t>
  </si>
  <si>
    <t>Sea pen</t>
    <phoneticPr fontId="7" type="noConversion"/>
  </si>
  <si>
    <t>Cirripedia</t>
  </si>
  <si>
    <t>Arthropoda</t>
  </si>
  <si>
    <t>Maxillopoda</t>
    <phoneticPr fontId="7" type="noConversion"/>
  </si>
  <si>
    <t>barnacle</t>
    <phoneticPr fontId="7" type="noConversion"/>
  </si>
  <si>
    <t>Metapenaeopsis provocatoria </t>
  </si>
  <si>
    <t>Malacostraca</t>
  </si>
  <si>
    <t>Decapoda</t>
  </si>
  <si>
    <t>Plesionika grandis</t>
  </si>
  <si>
    <t>Heterocarpus hayashii</t>
  </si>
  <si>
    <t>Pagurus confusus</t>
  </si>
  <si>
    <t>Hymenopenaeus aequalis</t>
  </si>
  <si>
    <t>Chlorotocus crassicornis</t>
  </si>
  <si>
    <t>Nematopagurus</t>
  </si>
  <si>
    <t>Leucosiidae</t>
  </si>
  <si>
    <t>Echinoidea</t>
  </si>
  <si>
    <t>Chordata</t>
  </si>
  <si>
    <t>Cocculinidae</t>
  </si>
  <si>
    <t>Mollusca</t>
  </si>
  <si>
    <t>Gastropoda</t>
  </si>
  <si>
    <t>Cocculiniformia</t>
    <phoneticPr fontId="7" type="noConversion"/>
  </si>
  <si>
    <t>Polychaeta</t>
  </si>
  <si>
    <t>Annelida</t>
  </si>
  <si>
    <t>Actiniaria</t>
  </si>
  <si>
    <t>Latreillia valida</t>
  </si>
  <si>
    <t>Octopoda</t>
  </si>
  <si>
    <t>Cephalopoda</t>
  </si>
  <si>
    <t>Bathybembix</t>
  </si>
  <si>
    <t>Seguenziida</t>
  </si>
  <si>
    <t>Granulifusus</t>
  </si>
  <si>
    <t>Neogastropoda</t>
  </si>
  <si>
    <t>Gasatropteron</t>
  </si>
  <si>
    <t>Cephalaspidea</t>
  </si>
  <si>
    <t>Cocculiniformia</t>
  </si>
  <si>
    <t>CP4189</t>
  </si>
  <si>
    <t>DSC_3707</t>
  </si>
  <si>
    <t>Paracyclois milneedwardsii</t>
  </si>
  <si>
    <t>DSC_3708</t>
  </si>
  <si>
    <t>DSC_3709</t>
  </si>
  <si>
    <t>Xylopagurus philippinensis</t>
  </si>
  <si>
    <t>Malacostraca</t>
    <phoneticPr fontId="7" type="noConversion"/>
  </si>
  <si>
    <t>Decapoda</t>
    <phoneticPr fontId="7" type="noConversion"/>
  </si>
  <si>
    <t>DSC_3710~3718</t>
  </si>
  <si>
    <t>Gastropoda</t>
    <phoneticPr fontId="7" type="noConversion"/>
  </si>
  <si>
    <t>Cocculinida</t>
    <phoneticPr fontId="7" type="noConversion"/>
  </si>
  <si>
    <t>Anthozoa</t>
    <phoneticPr fontId="7" type="noConversion"/>
  </si>
  <si>
    <t>Metanephrops formosanus</t>
  </si>
  <si>
    <t>DSC_3719~3720</t>
  </si>
  <si>
    <t>Platymaia</t>
  </si>
  <si>
    <t>DSC_3721</t>
  </si>
  <si>
    <t>DSC_3722</t>
  </si>
  <si>
    <t>Majoidea</t>
  </si>
  <si>
    <t>DSC_3729</t>
  </si>
  <si>
    <t>Polycheles</t>
  </si>
  <si>
    <t>DSC_3731</t>
  </si>
  <si>
    <t>Stomatopoda</t>
  </si>
  <si>
    <t>Stomatopoda</t>
    <phoneticPr fontId="7" type="noConversion"/>
  </si>
  <si>
    <t>DSC_3730</t>
  </si>
  <si>
    <t>DSC_3728</t>
  </si>
  <si>
    <t>DSC_3733</t>
  </si>
  <si>
    <t>Asteroidea sp.</t>
  </si>
  <si>
    <t>DSC_3732</t>
  </si>
  <si>
    <t>Cephalopoda</t>
    <phoneticPr fontId="7" type="noConversion"/>
  </si>
  <si>
    <t>Octopoda</t>
    <phoneticPr fontId="7" type="noConversion"/>
  </si>
  <si>
    <t>Fusinus</t>
  </si>
  <si>
    <t>Neogastropoda</t>
    <phoneticPr fontId="7" type="noConversion"/>
  </si>
  <si>
    <t xml:space="preserve">large </t>
  </si>
  <si>
    <t>Mitra</t>
  </si>
  <si>
    <t>Eudolium</t>
  </si>
  <si>
    <t>Littorinimorpha</t>
    <phoneticPr fontId="7" type="noConversion"/>
  </si>
  <si>
    <t>Gyrineum</t>
  </si>
  <si>
    <t>Nassaria</t>
  </si>
  <si>
    <t>Fulgoraria</t>
  </si>
  <si>
    <t>Firola (pelagic)</t>
  </si>
  <si>
    <t>Columbellidae</t>
  </si>
  <si>
    <t>Natica</t>
  </si>
  <si>
    <t>Gastropod</t>
  </si>
  <si>
    <t>Ctenophora</t>
  </si>
  <si>
    <t>Tentaculata</t>
  </si>
  <si>
    <t>Cydippida</t>
  </si>
  <si>
    <t>DSC_3735~3736</t>
  </si>
  <si>
    <t>DW4190</t>
  </si>
  <si>
    <t>Sigmops gracilis</t>
  </si>
  <si>
    <t>Actinopterygii</t>
    <phoneticPr fontId="7" type="noConversion"/>
  </si>
  <si>
    <t>Stomiiformes</t>
    <phoneticPr fontId="7" type="noConversion"/>
  </si>
  <si>
    <t>CP4191</t>
  </si>
  <si>
    <t>Synaphobranchus kaupii</t>
  </si>
  <si>
    <t>Anguilliformes</t>
    <phoneticPr fontId="7" type="noConversion"/>
  </si>
  <si>
    <t>Nemertina</t>
  </si>
  <si>
    <t>Paralithodes</t>
  </si>
  <si>
    <t>Parapagurus</t>
  </si>
  <si>
    <t>Sergestes</t>
  </si>
  <si>
    <t>Hymenopenaeus neptunus</t>
  </si>
  <si>
    <t>Mysidae</t>
  </si>
  <si>
    <t>Myida</t>
    <phoneticPr fontId="7" type="noConversion"/>
  </si>
  <si>
    <t>DSC_3797</t>
  </si>
  <si>
    <t>Ophiuroidea sp.</t>
  </si>
  <si>
    <t>Sipuncula</t>
  </si>
  <si>
    <t>Terebellida</t>
  </si>
  <si>
    <t>Lucinidae</t>
  </si>
  <si>
    <t>Bivalvia</t>
    <phoneticPr fontId="7" type="noConversion"/>
  </si>
  <si>
    <t>Lucinida</t>
    <phoneticPr fontId="7" type="noConversion"/>
  </si>
  <si>
    <t>Naticidae</t>
  </si>
  <si>
    <t>Raphitomidae</t>
  </si>
  <si>
    <t>Philinidae</t>
  </si>
  <si>
    <t>Cephalaspidea</t>
    <phoneticPr fontId="7" type="noConversion"/>
  </si>
  <si>
    <t>Cuspidaridae</t>
  </si>
  <si>
    <t>2 sp.</t>
  </si>
  <si>
    <t>Propeamussiidae</t>
  </si>
  <si>
    <t>Pectinida</t>
    <phoneticPr fontId="7" type="noConversion"/>
  </si>
  <si>
    <t>Exilioidea</t>
  </si>
  <si>
    <t>Scaphopoda</t>
  </si>
  <si>
    <t>Scaphopoda</t>
    <phoneticPr fontId="7" type="noConversion"/>
  </si>
  <si>
    <t>~30</t>
  </si>
  <si>
    <t>mixed microbivalves</t>
  </si>
  <si>
    <t>5 sp.</t>
  </si>
  <si>
    <t>Prosobranchia</t>
  </si>
  <si>
    <r>
      <t>4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sp.</t>
    </r>
  </si>
  <si>
    <t>CP4192</t>
  </si>
  <si>
    <t>Psathyrocaris fragilis</t>
  </si>
  <si>
    <t>Hemipenaeus</t>
  </si>
  <si>
    <t>Ascidiacea</t>
  </si>
  <si>
    <t>Ascidiacea</t>
    <phoneticPr fontId="7" type="noConversion"/>
  </si>
  <si>
    <t>Crinoidea</t>
  </si>
  <si>
    <t>Crinoidea</t>
    <phoneticPr fontId="7" type="noConversion"/>
  </si>
  <si>
    <t>Sternaspidae</t>
  </si>
  <si>
    <t>Nuculidae</t>
  </si>
  <si>
    <t>Nuculida</t>
    <phoneticPr fontId="7" type="noConversion"/>
  </si>
  <si>
    <t>Cephalaopidea</t>
  </si>
  <si>
    <t>Seguenziidae</t>
  </si>
  <si>
    <t>Seguenziida</t>
    <phoneticPr fontId="7" type="noConversion"/>
  </si>
  <si>
    <t>CP4194</t>
  </si>
  <si>
    <t>Holothuroidea</t>
  </si>
  <si>
    <t>Holothuroidea</t>
    <phoneticPr fontId="7" type="noConversion"/>
  </si>
  <si>
    <t>DSC_3830右上</t>
  </si>
  <si>
    <t>Benthesicymus investigatoris</t>
  </si>
  <si>
    <t>Stereomastis galil</t>
  </si>
  <si>
    <t>Ethusina</t>
  </si>
  <si>
    <t>Pasiphaea</t>
  </si>
  <si>
    <t>Acanthephyra</t>
  </si>
  <si>
    <t>Cylichnium</t>
  </si>
  <si>
    <t>Thyasiridae</t>
  </si>
  <si>
    <r>
      <t>2</t>
    </r>
    <r>
      <rPr>
        <sz val="12"/>
        <color theme="1"/>
        <rFont val="新細明體"/>
        <family val="2"/>
        <charset val="136"/>
        <scheme val="minor"/>
      </rPr>
      <t xml:space="preserve"> sp.</t>
    </r>
  </si>
  <si>
    <t>Protobranchia</t>
  </si>
  <si>
    <t>Xylophaga</t>
  </si>
  <si>
    <t>Bivalvia</t>
  </si>
  <si>
    <t>Myida</t>
  </si>
  <si>
    <t>Rissoidae</t>
  </si>
  <si>
    <t>Vesicomyidae</t>
  </si>
  <si>
    <t>Venerida</t>
    <phoneticPr fontId="7" type="noConversion"/>
  </si>
  <si>
    <t xml:space="preserve"> small</t>
  </si>
  <si>
    <t>Ringiculidae</t>
  </si>
  <si>
    <t>DW4195</t>
  </si>
  <si>
    <t>Porifera</t>
  </si>
  <si>
    <t>Porifera incertae sedis</t>
  </si>
  <si>
    <t>Scleractinia</t>
  </si>
  <si>
    <t>Scleractinia</t>
    <phoneticPr fontId="7" type="noConversion"/>
  </si>
  <si>
    <t>Alcyonacea</t>
  </si>
  <si>
    <t>Halgerda</t>
  </si>
  <si>
    <t>Nudibranchia</t>
    <phoneticPr fontId="7" type="noConversion"/>
  </si>
  <si>
    <t>Phyllidia</t>
  </si>
  <si>
    <r>
      <t xml:space="preserve">2 </t>
    </r>
    <r>
      <rPr>
        <sz val="12"/>
        <color theme="1"/>
        <rFont val="新細明體"/>
        <family val="2"/>
        <charset val="136"/>
        <scheme val="minor"/>
      </rPr>
      <t xml:space="preserve">or3 </t>
    </r>
    <r>
      <rPr>
        <sz val="12"/>
        <color theme="1"/>
        <rFont val="新細明體"/>
        <family val="2"/>
        <charset val="136"/>
        <scheme val="minor"/>
      </rPr>
      <t>sp.</t>
    </r>
  </si>
  <si>
    <t>Lamellariinae</t>
  </si>
  <si>
    <t>dorid nudibranch</t>
  </si>
  <si>
    <t>Cypraeidae</t>
  </si>
  <si>
    <t>Ovulidae</t>
  </si>
  <si>
    <t xml:space="preserve">Conus chiangi </t>
  </si>
  <si>
    <t xml:space="preserve">Muricidae </t>
  </si>
  <si>
    <t>Pectinidae</t>
  </si>
  <si>
    <t>Cymatiidae</t>
  </si>
  <si>
    <t>Carditida</t>
    <phoneticPr fontId="7" type="noConversion"/>
  </si>
  <si>
    <t>Sepia</t>
  </si>
  <si>
    <t>Sepiida</t>
    <phoneticPr fontId="7" type="noConversion"/>
  </si>
  <si>
    <r>
      <t>D</t>
    </r>
    <r>
      <rPr>
        <sz val="12"/>
        <color theme="1"/>
        <rFont val="新細明體"/>
        <family val="2"/>
        <charset val="136"/>
        <scheme val="minor"/>
      </rPr>
      <t>SC_3974</t>
    </r>
  </si>
  <si>
    <r>
      <t>D</t>
    </r>
    <r>
      <rPr>
        <sz val="12"/>
        <color theme="1"/>
        <rFont val="新細明體"/>
        <family val="2"/>
        <charset val="136"/>
        <scheme val="minor"/>
      </rPr>
      <t>SC_3977</t>
    </r>
  </si>
  <si>
    <t>DSC_3976</t>
  </si>
  <si>
    <t>DSC_4000</t>
  </si>
  <si>
    <t>DSC_4001</t>
  </si>
  <si>
    <t>CP4196</t>
  </si>
  <si>
    <t> Scleractinia</t>
  </si>
  <si>
    <r>
      <t>DSC_</t>
    </r>
    <r>
      <rPr>
        <sz val="12"/>
        <color theme="1"/>
        <rFont val="新細明體"/>
        <family val="2"/>
        <charset val="136"/>
        <scheme val="minor"/>
      </rPr>
      <t>3974</t>
    </r>
  </si>
  <si>
    <r>
      <t>DSC_</t>
    </r>
    <r>
      <rPr>
        <sz val="12"/>
        <color theme="1"/>
        <rFont val="新細明體"/>
        <family val="2"/>
        <charset val="136"/>
        <scheme val="minor"/>
      </rPr>
      <t>3975</t>
    </r>
  </si>
  <si>
    <r>
      <t>DSC_</t>
    </r>
    <r>
      <rPr>
        <sz val="12"/>
        <color theme="1"/>
        <rFont val="新細明體"/>
        <family val="2"/>
        <charset val="136"/>
        <scheme val="minor"/>
      </rPr>
      <t>3976</t>
    </r>
  </si>
  <si>
    <r>
      <t>DSC_</t>
    </r>
    <r>
      <rPr>
        <sz val="12"/>
        <color theme="1"/>
        <rFont val="新細明體"/>
        <family val="2"/>
        <charset val="136"/>
        <scheme val="minor"/>
      </rPr>
      <t>3977</t>
    </r>
  </si>
  <si>
    <r>
      <t>DSC_</t>
    </r>
    <r>
      <rPr>
        <sz val="12"/>
        <color theme="1"/>
        <rFont val="新細明體"/>
        <family val="2"/>
        <charset val="136"/>
        <scheme val="minor"/>
      </rPr>
      <t>3996</t>
    </r>
  </si>
  <si>
    <r>
      <t>DSC_</t>
    </r>
    <r>
      <rPr>
        <sz val="12"/>
        <color theme="1"/>
        <rFont val="新細明體"/>
        <family val="2"/>
        <charset val="136"/>
        <scheme val="minor"/>
      </rPr>
      <t>3995</t>
    </r>
  </si>
  <si>
    <t>DSC_3997~3998</t>
  </si>
  <si>
    <t>Xanthidae</t>
  </si>
  <si>
    <t>Quadrella maculosa</t>
  </si>
  <si>
    <t>Carcinoplax</t>
  </si>
  <si>
    <t>Trochida</t>
    <phoneticPr fontId="7" type="noConversion"/>
  </si>
  <si>
    <t>Siliquaria</t>
  </si>
  <si>
    <r>
      <t>w</t>
    </r>
    <r>
      <rPr>
        <sz val="12"/>
        <color theme="1"/>
        <rFont val="新細明體"/>
        <family val="2"/>
        <charset val="136"/>
        <scheme val="minor"/>
      </rPr>
      <t xml:space="preserve">ith </t>
    </r>
    <r>
      <rPr>
        <sz val="12"/>
        <color theme="1"/>
        <rFont val="新細明體"/>
        <family val="2"/>
        <charset val="136"/>
        <scheme val="minor"/>
      </rPr>
      <t>sponge</t>
    </r>
  </si>
  <si>
    <t>3 sp.</t>
  </si>
  <si>
    <t>Chromodorididae</t>
  </si>
  <si>
    <t>2 or3 sp.</t>
  </si>
  <si>
    <t>fasciolariidae</t>
  </si>
  <si>
    <t>Eugonatonotus chacei</t>
  </si>
  <si>
    <t>DW4197</t>
  </si>
  <si>
    <t>單體珊瑚</t>
  </si>
  <si>
    <t>DW4198</t>
  </si>
  <si>
    <t>Echinothuriidae</t>
  </si>
  <si>
    <t>Echinoidea</t>
    <phoneticPr fontId="7" type="noConversion"/>
  </si>
  <si>
    <t>Echinothurioida</t>
    <phoneticPr fontId="7" type="noConversion"/>
  </si>
  <si>
    <r>
      <t>D</t>
    </r>
    <r>
      <rPr>
        <sz val="12"/>
        <color theme="1"/>
        <rFont val="新細明體"/>
        <family val="2"/>
        <charset val="136"/>
        <scheme val="minor"/>
      </rPr>
      <t>SC_</t>
    </r>
    <r>
      <rPr>
        <sz val="12"/>
        <color theme="1"/>
        <rFont val="新細明體"/>
        <family val="2"/>
        <charset val="136"/>
        <scheme val="minor"/>
      </rPr>
      <t>4049</t>
    </r>
  </si>
  <si>
    <r>
      <t>DSC_40</t>
    </r>
    <r>
      <rPr>
        <sz val="12"/>
        <color theme="1"/>
        <rFont val="新細明體"/>
        <family val="2"/>
        <charset val="136"/>
        <scheme val="minor"/>
      </rPr>
      <t>50</t>
    </r>
  </si>
  <si>
    <r>
      <t>D</t>
    </r>
    <r>
      <rPr>
        <sz val="12"/>
        <color theme="1"/>
        <rFont val="新細明體"/>
        <family val="2"/>
        <charset val="136"/>
        <scheme val="minor"/>
      </rPr>
      <t>SC_</t>
    </r>
    <r>
      <rPr>
        <sz val="12"/>
        <color theme="1"/>
        <rFont val="新細明體"/>
        <family val="2"/>
        <charset val="136"/>
        <scheme val="minor"/>
      </rPr>
      <t>4051</t>
    </r>
    <r>
      <rPr>
        <sz val="12"/>
        <color theme="1"/>
        <rFont val="新細明體"/>
        <family val="2"/>
        <charset val="136"/>
        <scheme val="minor"/>
      </rPr>
      <t/>
    </r>
  </si>
  <si>
    <t>Plesionika semilaevis</t>
  </si>
  <si>
    <t>Munida</t>
  </si>
  <si>
    <t>Uroptychus</t>
  </si>
  <si>
    <t>Heterocarpus laevigatus</t>
  </si>
  <si>
    <t>Globospongicola spinulatus</t>
  </si>
  <si>
    <t>Plesionika laevis</t>
  </si>
  <si>
    <t>DSC_4054~4055</t>
  </si>
  <si>
    <t>DW4199</t>
  </si>
  <si>
    <t>DSC_4060~4061</t>
  </si>
  <si>
    <t>Euplectella aspergillum</t>
  </si>
  <si>
    <t>Hexactinellida</t>
    <phoneticPr fontId="7" type="noConversion"/>
  </si>
  <si>
    <t>Lyssacinosida</t>
    <phoneticPr fontId="7" type="noConversion"/>
  </si>
  <si>
    <t>Sicyonia</t>
  </si>
  <si>
    <t>Galathea</t>
  </si>
  <si>
    <t xml:space="preserve">Plesionika alcocki </t>
  </si>
  <si>
    <t>Plesionika carsini</t>
  </si>
  <si>
    <t>DW4200</t>
  </si>
  <si>
    <t>DW4201</t>
  </si>
  <si>
    <r>
      <t>D</t>
    </r>
    <r>
      <rPr>
        <sz val="12"/>
        <color theme="1"/>
        <rFont val="新細明體"/>
        <family val="2"/>
        <charset val="136"/>
        <scheme val="minor"/>
      </rPr>
      <t>SC_4100</t>
    </r>
  </si>
  <si>
    <t>Acanthephyra eximia</t>
  </si>
  <si>
    <t>CP4202</t>
  </si>
  <si>
    <t>Aristeus virilis</t>
  </si>
  <si>
    <t xml:space="preserve">Lebbeus </t>
  </si>
  <si>
    <t>Eucyclidae</t>
  </si>
  <si>
    <t>舊名：Calliotropidae</t>
  </si>
  <si>
    <t>Turbinidae</t>
  </si>
  <si>
    <t>Nematocarcinus</t>
  </si>
  <si>
    <t>Metacrangon</t>
  </si>
  <si>
    <t>Pantopoda</t>
  </si>
  <si>
    <t>Pycnogonida</t>
    <phoneticPr fontId="7" type="noConversion"/>
  </si>
  <si>
    <t>Pantopoda</t>
    <phoneticPr fontId="7" type="noConversion"/>
  </si>
  <si>
    <t>Crinoidea sp.</t>
  </si>
  <si>
    <t>DSC_4108</t>
  </si>
  <si>
    <t>Polynoidae</t>
  </si>
  <si>
    <t>Polychaeta</t>
    <phoneticPr fontId="7" type="noConversion"/>
  </si>
  <si>
    <t>Phyllodocida</t>
    <phoneticPr fontId="7" type="noConversion"/>
  </si>
  <si>
    <t>DSC_4109</t>
  </si>
  <si>
    <t>DSC_4100</t>
  </si>
  <si>
    <t>DSC_4118</t>
  </si>
  <si>
    <t>Chondrocladia</t>
  </si>
  <si>
    <t>Demospongiae</t>
    <phoneticPr fontId="7" type="noConversion"/>
  </si>
  <si>
    <t>Poecilosclerida</t>
    <phoneticPr fontId="7" type="noConversion"/>
  </si>
  <si>
    <t>DSC_4117，stalk sponge</t>
  </si>
  <si>
    <t>Porifera sp.</t>
  </si>
  <si>
    <t>DSC_4112</t>
  </si>
  <si>
    <t>DSC_4111</t>
  </si>
  <si>
    <t>DSC_4114</t>
  </si>
  <si>
    <t>DSC_4113</t>
  </si>
  <si>
    <t>CP4203</t>
  </si>
  <si>
    <r>
      <t>D</t>
    </r>
    <r>
      <rPr>
        <sz val="12"/>
        <color theme="1"/>
        <rFont val="新細明體"/>
        <family val="2"/>
        <charset val="136"/>
        <scheme val="minor"/>
      </rPr>
      <t>SC_4147</t>
    </r>
  </si>
  <si>
    <t>DSC_4148</t>
  </si>
  <si>
    <t>DSC_4149~4150</t>
  </si>
  <si>
    <t>DSC_4151_下左</t>
  </si>
  <si>
    <t>DSC_4151_下右</t>
  </si>
  <si>
    <t>DSC_4151_上右</t>
  </si>
  <si>
    <t>DSC_4151_上左</t>
  </si>
  <si>
    <t>DSC_4151_下中</t>
  </si>
  <si>
    <t>DSC_4152</t>
  </si>
  <si>
    <r>
      <t>DSC_41</t>
    </r>
    <r>
      <rPr>
        <sz val="12"/>
        <color theme="1"/>
        <rFont val="新細明體"/>
        <family val="2"/>
        <charset val="136"/>
        <scheme val="minor"/>
      </rPr>
      <t>53</t>
    </r>
  </si>
  <si>
    <t>DSC_4155</t>
  </si>
  <si>
    <t>stalk sponge</t>
  </si>
  <si>
    <t>Isopoda</t>
  </si>
  <si>
    <t>Isopoda</t>
    <phoneticPr fontId="7" type="noConversion"/>
  </si>
  <si>
    <t>Calliotropis A</t>
  </si>
  <si>
    <t>Calliotropis B</t>
  </si>
  <si>
    <t>Turridae</t>
  </si>
  <si>
    <t>Branchiopoda</t>
  </si>
  <si>
    <t>Branchiopoda</t>
    <phoneticPr fontId="7" type="noConversion"/>
  </si>
  <si>
    <t>Glyphocrangon</t>
  </si>
  <si>
    <t>CP4204</t>
  </si>
  <si>
    <t>Parapasiphae</t>
  </si>
  <si>
    <t>Psathyrocaris fragilis </t>
  </si>
  <si>
    <t>Conus teramachii</t>
  </si>
  <si>
    <t>Trophoninae</t>
  </si>
  <si>
    <t>Philine</t>
  </si>
  <si>
    <t>Nassariidae</t>
  </si>
  <si>
    <t>Solariellidae</t>
  </si>
  <si>
    <t xml:space="preserve">Scaphopoda </t>
  </si>
  <si>
    <t>Amiantofusus</t>
  </si>
  <si>
    <r>
      <t>D</t>
    </r>
    <r>
      <rPr>
        <sz val="12"/>
        <color theme="1"/>
        <rFont val="新細明體"/>
        <family val="2"/>
        <charset val="136"/>
        <scheme val="minor"/>
      </rPr>
      <t>SC_4177</t>
    </r>
  </si>
  <si>
    <t>DSC_4175</t>
  </si>
  <si>
    <t>DSC_4176</t>
  </si>
  <si>
    <t>DSC_4178</t>
  </si>
  <si>
    <t>DSC_4181</t>
  </si>
  <si>
    <t>DSC_4174，紅</t>
  </si>
  <si>
    <t>DSC_4174，小</t>
  </si>
  <si>
    <t>Sipuncula (或芋參?)</t>
  </si>
  <si>
    <t>DSC_4183~4184，Molpadiidae、Caudinidae兩目</t>
  </si>
  <si>
    <t>CP4205</t>
  </si>
  <si>
    <t>DSC_4206</t>
  </si>
  <si>
    <r>
      <t>D</t>
    </r>
    <r>
      <rPr>
        <sz val="12"/>
        <color theme="1"/>
        <rFont val="新細明體"/>
        <family val="2"/>
        <charset val="136"/>
        <scheme val="minor"/>
      </rPr>
      <t>SC_4207</t>
    </r>
  </si>
  <si>
    <t>DSC_4208</t>
  </si>
  <si>
    <t>DSC_4209</t>
  </si>
  <si>
    <t>DSC_4210</t>
  </si>
  <si>
    <t>DSC_4211</t>
  </si>
  <si>
    <t>Globospongicola</t>
  </si>
  <si>
    <t>Amphipoda</t>
  </si>
  <si>
    <t>Amphipoda</t>
    <phoneticPr fontId="7" type="noConversion"/>
  </si>
  <si>
    <t>Parapontophilus</t>
  </si>
  <si>
    <t>Heterocarpus dorsalis</t>
  </si>
  <si>
    <t>Munidopsis</t>
  </si>
  <si>
    <t>Paracrangon</t>
  </si>
  <si>
    <t xml:space="preserve">Fissurellidae </t>
  </si>
  <si>
    <t>Lepetellida</t>
    <phoneticPr fontId="7" type="noConversion"/>
  </si>
  <si>
    <t>Calliotropidae A</t>
  </si>
  <si>
    <t>Calliotropidae B</t>
  </si>
  <si>
    <t>Turbinidae A</t>
  </si>
  <si>
    <t>Turbinidae B</t>
  </si>
  <si>
    <t>Laubierinidae</t>
  </si>
  <si>
    <t>Exilia</t>
  </si>
  <si>
    <r>
      <t>5</t>
    </r>
    <r>
      <rPr>
        <sz val="12"/>
        <color theme="1"/>
        <rFont val="新細明體"/>
        <family val="2"/>
        <charset val="136"/>
        <scheme val="minor"/>
      </rPr>
      <t xml:space="preserve"> sp.</t>
    </r>
  </si>
  <si>
    <t>DSC_4212</t>
  </si>
  <si>
    <r>
      <t>D</t>
    </r>
    <r>
      <rPr>
        <sz val="12"/>
        <color theme="1"/>
        <rFont val="新細明體"/>
        <family val="2"/>
        <charset val="136"/>
        <scheme val="minor"/>
      </rPr>
      <t>SC_4213</t>
    </r>
  </si>
  <si>
    <t>DSC_4214</t>
  </si>
  <si>
    <t>DSC_4216</t>
  </si>
  <si>
    <r>
      <t>D</t>
    </r>
    <r>
      <rPr>
        <sz val="12"/>
        <color theme="1"/>
        <rFont val="新細明體"/>
        <family val="2"/>
        <charset val="136"/>
        <scheme val="minor"/>
      </rPr>
      <t>SC_4215</t>
    </r>
  </si>
  <si>
    <t>DSC_4217</t>
  </si>
  <si>
    <t>DSC_4218</t>
  </si>
  <si>
    <t>DSC_4219</t>
  </si>
  <si>
    <t>DSC_4220</t>
  </si>
  <si>
    <t>DSC_4221</t>
  </si>
  <si>
    <t>DSC_4222</t>
  </si>
  <si>
    <t>CP4206</t>
  </si>
  <si>
    <t>large</t>
  </si>
  <si>
    <t>Abra</t>
  </si>
  <si>
    <t>Cardiida</t>
  </si>
  <si>
    <t>Orectospira</t>
  </si>
  <si>
    <r>
      <t>D</t>
    </r>
    <r>
      <rPr>
        <sz val="12"/>
        <color theme="1"/>
        <rFont val="新細明體"/>
        <family val="2"/>
        <charset val="136"/>
        <scheme val="minor"/>
      </rPr>
      <t>SC_4212</t>
    </r>
  </si>
  <si>
    <t>DSC_4226，中間紫色</t>
  </si>
  <si>
    <t xml:space="preserve">Ephyrina figueirai </t>
  </si>
  <si>
    <t>Gennadas</t>
  </si>
  <si>
    <t>Systellaspis pellucida</t>
  </si>
  <si>
    <r>
      <t>D</t>
    </r>
    <r>
      <rPr>
        <sz val="12"/>
        <color theme="1"/>
        <rFont val="新細明體"/>
        <family val="2"/>
        <charset val="136"/>
        <scheme val="minor"/>
      </rPr>
      <t>SC_4227</t>
    </r>
  </si>
  <si>
    <t>DSC_4228</t>
  </si>
  <si>
    <t>OR1_1235</t>
  </si>
  <si>
    <t>Ophiuroidea A</t>
  </si>
  <si>
    <t>Asteroidea H</t>
  </si>
  <si>
    <t>Sipuncula(或芋參?)</t>
  </si>
  <si>
    <t>Cephalaspidea sp.</t>
  </si>
  <si>
    <t>Scaphopoda A</t>
  </si>
  <si>
    <t>Scaphopoda B</t>
  </si>
  <si>
    <t>Asteroidea W</t>
  </si>
  <si>
    <t>Glossidae</t>
  </si>
  <si>
    <t>Carditidae</t>
  </si>
  <si>
    <t>Asteroidea A</t>
  </si>
  <si>
    <t>Asteroidea D</t>
  </si>
  <si>
    <t>Asteroidea C</t>
  </si>
  <si>
    <t>Asteroidea Q</t>
  </si>
  <si>
    <t>Asteroidea R</t>
  </si>
  <si>
    <t xml:space="preserve">Munida </t>
  </si>
  <si>
    <t>Palicidae</t>
  </si>
  <si>
    <t>Tozeuma</t>
  </si>
  <si>
    <t>Asteroidea B</t>
  </si>
  <si>
    <t>Asteroidea E</t>
  </si>
  <si>
    <t>Asteroidea F</t>
  </si>
  <si>
    <t>Asteroidea G</t>
  </si>
  <si>
    <t>Galatheia</t>
  </si>
  <si>
    <t xml:space="preserve">Rhinolambrus cybelis </t>
  </si>
  <si>
    <t>Bolma</t>
  </si>
  <si>
    <t>Tritoniidae</t>
  </si>
  <si>
    <t>Phyllidiopsis</t>
  </si>
  <si>
    <t>Asteroidea S</t>
  </si>
  <si>
    <t>Asteroidea U</t>
  </si>
  <si>
    <t>Asteroidea T</t>
  </si>
  <si>
    <t>Alpheidae</t>
  </si>
  <si>
    <t>Asteroidea I</t>
  </si>
  <si>
    <t>Ophiuroidea B</t>
  </si>
  <si>
    <t>Ophiuroidea C</t>
  </si>
  <si>
    <t>Ophiuroidea D</t>
  </si>
  <si>
    <t>Ophiuroidea E</t>
  </si>
  <si>
    <t>Ophiuroidea F</t>
  </si>
  <si>
    <t>Asteroidea J</t>
  </si>
  <si>
    <t>Asteroidea K</t>
  </si>
  <si>
    <t>Ophiuroidea G</t>
  </si>
  <si>
    <t>Ophiuroidea H</t>
  </si>
  <si>
    <t>Asteroidea L</t>
  </si>
  <si>
    <t>Ophiuroidea I</t>
  </si>
  <si>
    <t>Ophiuroidea J</t>
  </si>
  <si>
    <t>Ophiuroidea K</t>
  </si>
  <si>
    <t>Asteroidea M</t>
  </si>
  <si>
    <t>Asteroidea O</t>
  </si>
  <si>
    <t>Asteroidea P</t>
  </si>
  <si>
    <t>Ophiuroidea L</t>
  </si>
  <si>
    <t>CP4207</t>
  </si>
  <si>
    <t>CP4209</t>
  </si>
  <si>
    <t>OR1_1244</t>
  </si>
  <si>
    <t>OR1_1244</t>
    <phoneticPr fontId="7" type="noConversion"/>
  </si>
  <si>
    <t>crab白殼</t>
  </si>
  <si>
    <t>白手肘Carb</t>
  </si>
  <si>
    <t>背角</t>
  </si>
  <si>
    <t>龍蝦般的Crab</t>
  </si>
  <si>
    <t>鬍鬚Crab</t>
  </si>
  <si>
    <t>沒特色</t>
  </si>
  <si>
    <t>龍蝦1</t>
  </si>
  <si>
    <t>龍蝦2</t>
  </si>
  <si>
    <t>白子蝦</t>
  </si>
  <si>
    <t>Sponge</t>
  </si>
  <si>
    <t>陽燧足1</t>
  </si>
  <si>
    <t>陽燧足2</t>
  </si>
  <si>
    <t>海膽</t>
  </si>
  <si>
    <t>海百合A(green)</t>
  </si>
  <si>
    <t>海百合B(blown)</t>
  </si>
  <si>
    <t>海百合C(yellow)</t>
  </si>
  <si>
    <t>crab1</t>
  </si>
  <si>
    <t>crab2(長手)</t>
  </si>
  <si>
    <t>crab3(刺刺)</t>
  </si>
  <si>
    <t>crab4(圓)</t>
  </si>
  <si>
    <t>crab5(?殼)</t>
  </si>
  <si>
    <t>crab6(spider)</t>
  </si>
  <si>
    <t>冬蟲夏腳蟹</t>
  </si>
  <si>
    <t>龍蝦(白背)</t>
  </si>
  <si>
    <t>餅乾珊瑚</t>
  </si>
  <si>
    <t xml:space="preserve">寄居ㄒㄧㄝˋ </t>
  </si>
  <si>
    <t>巨足蟲</t>
  </si>
  <si>
    <t>小螺</t>
  </si>
  <si>
    <t>海葵</t>
  </si>
  <si>
    <t>Hime japonica</t>
  </si>
  <si>
    <t>Ophidion asiro</t>
  </si>
  <si>
    <t>Neobythites sivicola</t>
  </si>
  <si>
    <t>Lepidotrigla japonica</t>
  </si>
  <si>
    <t>Bathycongrus retrotinctus</t>
  </si>
  <si>
    <t>Chlorophthalmus sp.</t>
  </si>
  <si>
    <t>Plectranthias xanthomaculatus</t>
  </si>
  <si>
    <t>籐壺1</t>
  </si>
  <si>
    <t>籐壺2</t>
  </si>
  <si>
    <t>龍蝦(兔兔)</t>
  </si>
  <si>
    <t>龍蝦(背上三線)</t>
  </si>
  <si>
    <t>長手蝦</t>
  </si>
  <si>
    <t>斷蝦</t>
  </si>
  <si>
    <t>蝦1(殼厚)</t>
  </si>
  <si>
    <t>蝦2(足不出戶)</t>
  </si>
  <si>
    <t>蝦3(櫻花)</t>
  </si>
  <si>
    <t>蒼白蝦</t>
  </si>
  <si>
    <t>有卵蝦</t>
  </si>
  <si>
    <t>大?的蝦</t>
  </si>
  <si>
    <t>蒼白蝦米</t>
  </si>
  <si>
    <t>紅額頭</t>
  </si>
  <si>
    <t>寄居蟹/殼</t>
  </si>
  <si>
    <t>玻璃海綿</t>
  </si>
  <si>
    <t>珊瑚1</t>
  </si>
  <si>
    <t>螺1</t>
  </si>
  <si>
    <t>螺2</t>
  </si>
  <si>
    <t>象牙貝</t>
  </si>
  <si>
    <t>海膽1</t>
  </si>
  <si>
    <t>海膽2</t>
  </si>
  <si>
    <t>船長海百合</t>
  </si>
  <si>
    <t>蛋螺</t>
  </si>
  <si>
    <t>戰鬥陀螺</t>
  </si>
  <si>
    <t>ㄕㄚ  ㄘㄢˊ  寶寶</t>
  </si>
  <si>
    <t>粉色Coral</t>
  </si>
  <si>
    <t>香港的蟲(薯條)</t>
  </si>
  <si>
    <t>葡萄海葵(葡萄人)</t>
  </si>
  <si>
    <t>伙珊瑚(阿King)</t>
  </si>
  <si>
    <t>海(?)Coral</t>
  </si>
  <si>
    <t>Merry coral</t>
  </si>
  <si>
    <t>雙子Leaf plant的根的Coral(Maybe是單子leaf)</t>
  </si>
  <si>
    <t>陽燧足</t>
  </si>
  <si>
    <t>螺</t>
  </si>
  <si>
    <t>二枚貝</t>
  </si>
  <si>
    <t>海星</t>
  </si>
  <si>
    <t>Trachonurus villosus</t>
  </si>
  <si>
    <t>Nezumia spinosa</t>
  </si>
  <si>
    <t>Centroscyllium kamoharai</t>
  </si>
  <si>
    <t>Hexanauplia</t>
  </si>
  <si>
    <t>Sessilia</t>
  </si>
  <si>
    <t>Demospongiae</t>
  </si>
  <si>
    <t>Ophiuroidea</t>
  </si>
  <si>
    <t>Ophiurida</t>
  </si>
  <si>
    <t>Isocrinida</t>
  </si>
  <si>
    <t>Actinopterygii</t>
  </si>
  <si>
    <t>Aulopiformes</t>
  </si>
  <si>
    <t>Ophidiiformes</t>
  </si>
  <si>
    <t>Scorpaeniformes</t>
  </si>
  <si>
    <t>Anguilliformes</t>
  </si>
  <si>
    <t>Perciformes</t>
  </si>
  <si>
    <t>Hexactinellida</t>
  </si>
  <si>
    <t>Errantia</t>
  </si>
  <si>
    <t>Balanidae</t>
  </si>
  <si>
    <t>Isselicrinidae</t>
  </si>
  <si>
    <t>Cirolanidae</t>
  </si>
  <si>
    <t>Aulopidae</t>
  </si>
  <si>
    <t>Ophidiidae</t>
  </si>
  <si>
    <t>Triglidae</t>
  </si>
  <si>
    <t>Congridae</t>
  </si>
  <si>
    <t>Chlorophthalmidae</t>
  </si>
  <si>
    <t>Synaphobranchidae</t>
  </si>
  <si>
    <t>Macrouridae</t>
  </si>
  <si>
    <t>Etmopteridae</t>
  </si>
  <si>
    <t>CP4218</t>
    <phoneticPr fontId="7" type="noConversion"/>
  </si>
  <si>
    <t>蝦(長尾)</t>
    <phoneticPr fontId="7" type="noConversion"/>
  </si>
  <si>
    <r>
      <t>寄居蟹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異尾</t>
    </r>
    <r>
      <rPr>
        <sz val="10"/>
        <rFont val="Calibri"/>
        <family val="2"/>
      </rPr>
      <t>)</t>
    </r>
    <phoneticPr fontId="7" type="noConversion"/>
  </si>
  <si>
    <t>有海葵者：5隻</t>
    <phoneticPr fontId="7" type="noConversion"/>
  </si>
  <si>
    <t>鎧甲蝦</t>
    <phoneticPr fontId="7" type="noConversion"/>
  </si>
  <si>
    <t>CP4219</t>
    <phoneticPr fontId="7" type="noConversion"/>
  </si>
  <si>
    <t>10ml</t>
    <phoneticPr fontId="7" type="noConversion"/>
  </si>
  <si>
    <t>共生海葵+寄居蟹</t>
    <phoneticPr fontId="7" type="noConversion"/>
  </si>
  <si>
    <t>CP4220</t>
    <phoneticPr fontId="7" type="noConversion"/>
  </si>
  <si>
    <t>CP4221</t>
  </si>
  <si>
    <t>CP4221</t>
    <phoneticPr fontId="7" type="noConversion"/>
  </si>
  <si>
    <t>glass sponge</t>
    <phoneticPr fontId="7" type="noConversion"/>
  </si>
  <si>
    <t>CP4214</t>
    <phoneticPr fontId="7" type="noConversion"/>
  </si>
  <si>
    <t>螺</t>
    <phoneticPr fontId="7" type="noConversion"/>
  </si>
  <si>
    <t>CP4215</t>
    <phoneticPr fontId="7" type="noConversion"/>
  </si>
  <si>
    <t>Sea slug</t>
    <phoneticPr fontId="7" type="noConversion"/>
  </si>
  <si>
    <t>象牙貝</t>
    <phoneticPr fontId="7" type="noConversion"/>
  </si>
  <si>
    <t>CP4216</t>
    <phoneticPr fontId="7" type="noConversion"/>
  </si>
  <si>
    <t>CP4217</t>
    <phoneticPr fontId="7" type="noConversion"/>
  </si>
  <si>
    <t>水母</t>
    <phoneticPr fontId="7" type="noConversion"/>
  </si>
  <si>
    <t>Annelida</t>
    <phoneticPr fontId="7" type="noConversion"/>
  </si>
  <si>
    <t>Wood</t>
    <phoneticPr fontId="7" type="noConversion"/>
  </si>
  <si>
    <t>管水母</t>
    <phoneticPr fontId="7" type="noConversion"/>
  </si>
  <si>
    <t>櫛水母</t>
    <phoneticPr fontId="7" type="noConversion"/>
  </si>
  <si>
    <t>龍骨螺</t>
    <phoneticPr fontId="7" type="noConversion"/>
  </si>
  <si>
    <t>單體珊瑚</t>
    <phoneticPr fontId="7" type="noConversion"/>
  </si>
  <si>
    <t>海葵</t>
    <phoneticPr fontId="7" type="noConversion"/>
  </si>
  <si>
    <t>wood</t>
    <phoneticPr fontId="7" type="noConversion"/>
  </si>
  <si>
    <t>CP4221</t>
    <phoneticPr fontId="7" type="noConversion"/>
  </si>
  <si>
    <t>海百合(粉色)</t>
    <phoneticPr fontId="7" type="noConversion"/>
  </si>
  <si>
    <t>海百合(黃綠色)</t>
    <phoneticPr fontId="7" type="noConversion"/>
  </si>
  <si>
    <t>海百合(深綠色)</t>
    <phoneticPr fontId="7" type="noConversion"/>
  </si>
  <si>
    <t>Polychaeta</t>
    <phoneticPr fontId="7" type="noConversion"/>
  </si>
  <si>
    <t>7.5ml</t>
    <phoneticPr fontId="7" type="noConversion"/>
  </si>
  <si>
    <t>CP4214</t>
    <phoneticPr fontId="7" type="noConversion"/>
  </si>
  <si>
    <t>sea anemore</t>
    <phoneticPr fontId="7" type="noConversion"/>
  </si>
  <si>
    <t>CP4215</t>
  </si>
  <si>
    <t>CP4216</t>
  </si>
  <si>
    <t>coral</t>
    <phoneticPr fontId="7" type="noConversion"/>
  </si>
  <si>
    <t>1ml</t>
    <phoneticPr fontId="7" type="noConversion"/>
  </si>
  <si>
    <t>CP4217</t>
  </si>
  <si>
    <t xml:space="preserve">八放coral </t>
    <phoneticPr fontId="7" type="noConversion"/>
  </si>
  <si>
    <t>CP4218</t>
  </si>
  <si>
    <t>sea pen(white)</t>
    <phoneticPr fontId="7" type="noConversion"/>
  </si>
  <si>
    <t>sea pen(orange)</t>
    <phoneticPr fontId="7" type="noConversion"/>
  </si>
  <si>
    <t>12ml</t>
    <phoneticPr fontId="7" type="noConversion"/>
  </si>
  <si>
    <t>sea pen(gray)</t>
    <phoneticPr fontId="7" type="noConversion"/>
  </si>
  <si>
    <t>15ml</t>
    <phoneticPr fontId="7" type="noConversion"/>
  </si>
  <si>
    <t>海葵</t>
    <phoneticPr fontId="7" type="noConversion"/>
  </si>
  <si>
    <t>sea pen</t>
    <phoneticPr fontId="7" type="noConversion"/>
  </si>
  <si>
    <t>CP4218</t>
    <phoneticPr fontId="7" type="noConversion"/>
  </si>
  <si>
    <t>CP4219</t>
  </si>
  <si>
    <t>black coral</t>
    <phoneticPr fontId="7" type="noConversion"/>
  </si>
  <si>
    <t>CP4220</t>
  </si>
  <si>
    <t>20ml</t>
    <phoneticPr fontId="7" type="noConversion"/>
  </si>
  <si>
    <t>7.5ml</t>
    <phoneticPr fontId="7" type="noConversion"/>
  </si>
  <si>
    <t>bamboo coral</t>
    <phoneticPr fontId="7" type="noConversion"/>
  </si>
  <si>
    <t>口足類</t>
    <phoneticPr fontId="7" type="noConversion"/>
  </si>
  <si>
    <t>長臂隆背蟹</t>
    <phoneticPr fontId="7" type="noConversion"/>
  </si>
  <si>
    <t>關公蟹</t>
    <phoneticPr fontId="7" type="noConversion"/>
  </si>
  <si>
    <t>蟹</t>
    <phoneticPr fontId="7" type="noConversion"/>
  </si>
  <si>
    <t>鎧甲蝦</t>
    <phoneticPr fontId="7" type="noConversion"/>
  </si>
  <si>
    <t>蝦蛄(口足類)</t>
    <phoneticPr fontId="7" type="noConversion"/>
  </si>
  <si>
    <t>amphipoda</t>
    <phoneticPr fontId="7" type="noConversion"/>
  </si>
  <si>
    <t>龍骨螺</t>
    <phoneticPr fontId="7" type="noConversion"/>
  </si>
  <si>
    <t>CP4219</t>
    <phoneticPr fontId="7" type="noConversion"/>
  </si>
  <si>
    <t>sea star</t>
    <phoneticPr fontId="7" type="noConversion"/>
  </si>
  <si>
    <t>柔海膽</t>
    <phoneticPr fontId="7" type="noConversion"/>
  </si>
  <si>
    <t>陽隧足</t>
    <phoneticPr fontId="7" type="noConversion"/>
  </si>
  <si>
    <t>stony coral</t>
    <phoneticPr fontId="7" type="noConversion"/>
  </si>
  <si>
    <t>5ml</t>
    <phoneticPr fontId="7" type="noConversion"/>
  </si>
  <si>
    <t>石珊瑚</t>
    <phoneticPr fontId="7" type="noConversion"/>
  </si>
  <si>
    <t>25ml</t>
    <phoneticPr fontId="7" type="noConversion"/>
  </si>
  <si>
    <t>海星</t>
    <phoneticPr fontId="7" type="noConversion"/>
  </si>
  <si>
    <t>Ophiuroidea</t>
    <phoneticPr fontId="7" type="noConversion"/>
  </si>
  <si>
    <t>2.5ml</t>
    <phoneticPr fontId="7" type="noConversion"/>
  </si>
  <si>
    <t>海膽</t>
    <phoneticPr fontId="7" type="noConversion"/>
  </si>
  <si>
    <t>CP4217</t>
    <phoneticPr fontId="7" type="noConversion"/>
  </si>
  <si>
    <t>35ml</t>
    <phoneticPr fontId="7" type="noConversion"/>
  </si>
  <si>
    <t>sea urchin</t>
    <phoneticPr fontId="7" type="noConversion"/>
  </si>
  <si>
    <t>10ml</t>
    <phoneticPr fontId="7" type="noConversion"/>
  </si>
  <si>
    <t>40ml</t>
    <phoneticPr fontId="7" type="noConversion"/>
  </si>
  <si>
    <t>海參</t>
    <phoneticPr fontId="7" type="noConversion"/>
  </si>
  <si>
    <t>Ophididat</t>
    <phoneticPr fontId="7" type="noConversion"/>
  </si>
  <si>
    <t>Myxinidae</t>
    <phoneticPr fontId="7" type="noConversion"/>
  </si>
  <si>
    <t>Bothidae</t>
    <phoneticPr fontId="7" type="noConversion"/>
  </si>
  <si>
    <t>Cynoglossidae</t>
    <phoneticPr fontId="7" type="noConversion"/>
  </si>
  <si>
    <t>Malacanthidae</t>
    <phoneticPr fontId="7" type="noConversion"/>
  </si>
  <si>
    <t>eel</t>
    <phoneticPr fontId="7" type="noConversion"/>
  </si>
  <si>
    <t>Macrouridae</t>
    <phoneticPr fontId="7" type="noConversion"/>
  </si>
  <si>
    <t>Triglidae</t>
    <phoneticPr fontId="7" type="noConversion"/>
  </si>
  <si>
    <t>Ophididae</t>
    <phoneticPr fontId="7" type="noConversion"/>
  </si>
  <si>
    <t>Synaphobranchidae</t>
    <phoneticPr fontId="7" type="noConversion"/>
  </si>
  <si>
    <t>Somiidae</t>
    <phoneticPr fontId="7" type="noConversion"/>
  </si>
  <si>
    <t>Alepocephalidat</t>
    <phoneticPr fontId="7" type="noConversion"/>
  </si>
  <si>
    <t>Rajidae</t>
    <phoneticPr fontId="7" type="noConversion"/>
  </si>
  <si>
    <t>Cnaunacidae</t>
    <phoneticPr fontId="7" type="noConversion"/>
  </si>
  <si>
    <t>Sternoptyocjidae</t>
    <phoneticPr fontId="7" type="noConversion"/>
  </si>
  <si>
    <t>Stomiidae</t>
    <phoneticPr fontId="7" type="noConversion"/>
  </si>
  <si>
    <t>spectrunculus grandis</t>
    <phoneticPr fontId="7" type="noConversion"/>
  </si>
  <si>
    <t>Acanthonus armatus</t>
    <phoneticPr fontId="7" type="noConversion"/>
  </si>
  <si>
    <t>Oicrolent quinquarius</t>
    <phoneticPr fontId="7" type="noConversion"/>
  </si>
  <si>
    <t>lantern fish</t>
    <phoneticPr fontId="7" type="noConversion"/>
  </si>
  <si>
    <t>Aclopiform</t>
    <phoneticPr fontId="7" type="noConversion"/>
  </si>
  <si>
    <t>Synaphobranchus kaupii</t>
    <phoneticPr fontId="7" type="noConversion"/>
  </si>
  <si>
    <t>Cruise</t>
    <phoneticPr fontId="7" type="noConversion"/>
  </si>
  <si>
    <t>Tow ID</t>
    <phoneticPr fontId="7" type="noConversion"/>
  </si>
  <si>
    <t>Date</t>
    <phoneticPr fontId="7" type="noConversion"/>
  </si>
  <si>
    <t>GIW_Long</t>
    <phoneticPr fontId="7" type="noConversion"/>
  </si>
  <si>
    <t>GIW_Lat</t>
    <phoneticPr fontId="7" type="noConversion"/>
  </si>
  <si>
    <t>GIW_Time</t>
    <phoneticPr fontId="7" type="noConversion"/>
  </si>
  <si>
    <t>GONB_Long</t>
    <phoneticPr fontId="7" type="noConversion"/>
  </si>
  <si>
    <t>GONB_Lat</t>
    <phoneticPr fontId="7" type="noConversion"/>
  </si>
  <si>
    <t>GONB_Depth</t>
    <phoneticPr fontId="7" type="noConversion"/>
  </si>
  <si>
    <t>GONB_Time</t>
    <phoneticPr fontId="7" type="noConversion"/>
  </si>
  <si>
    <t>GOFB_Tow speed</t>
    <phoneticPr fontId="7" type="noConversion"/>
  </si>
  <si>
    <t>GOFB_Wire Length</t>
    <phoneticPr fontId="7" type="noConversion"/>
  </si>
  <si>
    <t>GOFB_Long</t>
    <phoneticPr fontId="7" type="noConversion"/>
  </si>
  <si>
    <t>GOFB_Lat</t>
    <phoneticPr fontId="7" type="noConversion"/>
  </si>
  <si>
    <t>GOFB_Depth</t>
    <phoneticPr fontId="7" type="noConversion"/>
  </si>
  <si>
    <t>GOFB_Time</t>
    <phoneticPr fontId="7" type="noConversion"/>
  </si>
  <si>
    <t>GOW_Long</t>
    <phoneticPr fontId="7" type="noConversion"/>
  </si>
  <si>
    <t>GOW_Lat</t>
    <phoneticPr fontId="7" type="noConversion"/>
  </si>
  <si>
    <t>GOW_Time</t>
    <phoneticPr fontId="7" type="noConversion"/>
  </si>
  <si>
    <t>OR1_1235</t>
    <phoneticPr fontId="7" type="noConversion"/>
  </si>
  <si>
    <t>DW4187</t>
    <phoneticPr fontId="7" type="noConversion"/>
  </si>
  <si>
    <t>CP4188</t>
    <phoneticPr fontId="7" type="noConversion"/>
  </si>
  <si>
    <t>CP4189</t>
    <phoneticPr fontId="7" type="noConversion"/>
  </si>
  <si>
    <t>15:25到底；礫石卵石多</t>
    <phoneticPr fontId="7" type="noConversion"/>
  </si>
  <si>
    <t>DW4190</t>
    <phoneticPr fontId="7" type="noConversion"/>
  </si>
  <si>
    <t>No tension↓</t>
    <phoneticPr fontId="7" type="noConversion"/>
  </si>
  <si>
    <t>CP4191</t>
    <phoneticPr fontId="7" type="noConversion"/>
  </si>
  <si>
    <t>trawl未關</t>
    <phoneticPr fontId="7" type="noConversion"/>
  </si>
  <si>
    <t>CP4192</t>
    <phoneticPr fontId="7" type="noConversion"/>
  </si>
  <si>
    <t>CP4193</t>
    <phoneticPr fontId="7" type="noConversion"/>
  </si>
  <si>
    <t>trawl破</t>
    <phoneticPr fontId="7" type="noConversion"/>
  </si>
  <si>
    <t>CP4194</t>
    <phoneticPr fontId="7" type="noConversion"/>
  </si>
  <si>
    <t>23:24到底</t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</si>
  <si>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W4195</t>
    </r>
    <phoneticPr fontId="7" type="noConversion"/>
  </si>
  <si>
    <r>
      <t>C</t>
    </r>
    <r>
      <rPr>
        <sz val="12"/>
        <color theme="1"/>
        <rFont val="新細明體"/>
        <family val="1"/>
        <charset val="136"/>
        <scheme val="minor"/>
      </rPr>
      <t>P4196</t>
    </r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</si>
  <si>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W4197</t>
    </r>
    <phoneticPr fontId="7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</si>
  <si>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6:20到底</t>
    </r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</si>
  <si>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W4198</t>
    </r>
    <phoneticPr fontId="7" type="noConversion"/>
  </si>
  <si>
    <t>玻璃海綿多</t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</si>
  <si>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W4199</t>
    </r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</si>
  <si>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W4200</t>
    </r>
    <phoneticPr fontId="7" type="noConversion"/>
  </si>
  <si>
    <t>未到底</t>
    <phoneticPr fontId="7" type="noConversion"/>
  </si>
  <si>
    <r>
      <t>D</t>
    </r>
    <r>
      <rPr>
        <sz val="12"/>
        <color theme="1"/>
        <rFont val="新細明體"/>
        <family val="1"/>
        <charset val="136"/>
        <scheme val="minor"/>
      </rPr>
      <t>W4201</t>
    </r>
    <phoneticPr fontId="7" type="noConversion"/>
  </si>
  <si>
    <r>
      <t>C</t>
    </r>
    <r>
      <rPr>
        <sz val="12"/>
        <color theme="1"/>
        <rFont val="新細明體"/>
        <family val="1"/>
        <charset val="136"/>
        <scheme val="minor"/>
      </rPr>
      <t>P4202</t>
    </r>
    <phoneticPr fontId="7" type="noConversion"/>
  </si>
  <si>
    <r>
      <t>C</t>
    </r>
    <r>
      <rPr>
        <sz val="12"/>
        <color theme="1"/>
        <rFont val="新細明體"/>
        <family val="1"/>
        <charset val="136"/>
        <scheme val="minor"/>
      </rPr>
      <t>P4203</t>
    </r>
    <phoneticPr fontId="7" type="noConversion"/>
  </si>
  <si>
    <t>16:04到1700m</t>
    <phoneticPr fontId="7" type="noConversion"/>
  </si>
  <si>
    <t>CP4204</t>
    <phoneticPr fontId="7" type="noConversion"/>
  </si>
  <si>
    <t>CP4205</t>
    <phoneticPr fontId="7" type="noConversion"/>
  </si>
  <si>
    <r>
      <t>C</t>
    </r>
    <r>
      <rPr>
        <sz val="12"/>
        <color theme="1"/>
        <rFont val="新細明體"/>
        <family val="1"/>
        <charset val="136"/>
        <scheme val="minor"/>
      </rPr>
      <t>P4206</t>
    </r>
    <phoneticPr fontId="7" type="noConversion"/>
  </si>
  <si>
    <t>CP4207</t>
    <phoneticPr fontId="7" type="noConversion"/>
  </si>
  <si>
    <t>Tension顯示不正常，around 200kg</t>
    <phoneticPr fontId="7" type="noConversion"/>
  </si>
  <si>
    <t>CP4208</t>
    <phoneticPr fontId="7" type="noConversion"/>
  </si>
  <si>
    <t>CP4209</t>
    <phoneticPr fontId="7" type="noConversion"/>
  </si>
  <si>
    <t>卡到纜繩，船的鉸鏈繩子拉斷</t>
    <phoneticPr fontId="7" type="noConversion"/>
  </si>
  <si>
    <t>NOR1_T004</t>
    <phoneticPr fontId="7" type="noConversion"/>
  </si>
  <si>
    <t>CP4210</t>
    <phoneticPr fontId="7" type="noConversion"/>
  </si>
  <si>
    <t>完整廢油桶</t>
    <phoneticPr fontId="7" type="noConversion"/>
  </si>
  <si>
    <t>黑煙囪</t>
    <phoneticPr fontId="7" type="noConversion"/>
  </si>
  <si>
    <t>NOR1_002B</t>
    <phoneticPr fontId="7" type="noConversion"/>
  </si>
  <si>
    <t>CP4214</t>
    <phoneticPr fontId="27" type="noConversion"/>
  </si>
  <si>
    <t>NOR1_002B</t>
    <phoneticPr fontId="7" type="noConversion"/>
  </si>
  <si>
    <t>CP4215</t>
    <phoneticPr fontId="27" type="noConversion"/>
  </si>
  <si>
    <t>NOR1_002C</t>
    <phoneticPr fontId="7" type="noConversion"/>
  </si>
  <si>
    <t>可能未到底，東西很少，多浮游性</t>
    <phoneticPr fontId="7" type="noConversion"/>
  </si>
  <si>
    <t>5:46到底</t>
    <phoneticPr fontId="7" type="noConversion"/>
  </si>
  <si>
    <t>16:14離底</t>
    <phoneticPr fontId="7" type="noConversion"/>
  </si>
  <si>
    <t>右車故障</t>
    <phoneticPr fontId="7" type="noConversion"/>
  </si>
  <si>
    <t>NOR1_002B</t>
    <phoneticPr fontId="7" type="noConversion"/>
  </si>
  <si>
    <t>NOR1_002C</t>
    <phoneticPr fontId="7" type="noConversion"/>
  </si>
  <si>
    <t>CP4221</t>
    <phoneticPr fontId="7" type="noConversion"/>
  </si>
  <si>
    <t>螺</t>
    <phoneticPr fontId="7" type="noConversion"/>
  </si>
  <si>
    <t>螺+翼足</t>
    <phoneticPr fontId="7" type="noConversion"/>
  </si>
  <si>
    <t>海兔</t>
    <phoneticPr fontId="7" type="noConversion"/>
  </si>
  <si>
    <t>虎斑烏賊(花枝)</t>
    <phoneticPr fontId="7" type="noConversion"/>
  </si>
  <si>
    <t>octocoral</t>
    <phoneticPr fontId="7" type="noConversion"/>
  </si>
  <si>
    <t>sea anemone</t>
    <phoneticPr fontId="7" type="noConversion"/>
  </si>
  <si>
    <t>sea anemone with hemit crab</t>
    <phoneticPr fontId="7" type="noConversion"/>
  </si>
  <si>
    <t>CP4214</t>
    <phoneticPr fontId="7" type="noConversion"/>
  </si>
  <si>
    <t>CP4215</t>
    <phoneticPr fontId="7" type="noConversion"/>
  </si>
  <si>
    <t>CP4216</t>
    <phoneticPr fontId="7" type="noConversion"/>
  </si>
  <si>
    <t>CP4216</t>
    <phoneticPr fontId="7" type="noConversion"/>
  </si>
  <si>
    <t>CP4216</t>
    <phoneticPr fontId="7" type="noConversion"/>
  </si>
  <si>
    <t>CP4217</t>
    <phoneticPr fontId="7" type="noConversion"/>
  </si>
  <si>
    <t>CP4218</t>
    <phoneticPr fontId="7" type="noConversion"/>
  </si>
  <si>
    <t>CP4218</t>
    <phoneticPr fontId="7" type="noConversion"/>
  </si>
  <si>
    <t>CP4218</t>
    <phoneticPr fontId="7" type="noConversion"/>
  </si>
  <si>
    <t>CP4219</t>
    <phoneticPr fontId="7" type="noConversion"/>
  </si>
  <si>
    <t>CP4220</t>
    <phoneticPr fontId="7" type="noConversion"/>
  </si>
  <si>
    <t>CP4220</t>
    <phoneticPr fontId="7" type="noConversion"/>
  </si>
  <si>
    <t>CP4220</t>
    <phoneticPr fontId="7" type="noConversion"/>
  </si>
  <si>
    <t>CP4221</t>
    <phoneticPr fontId="7" type="noConversion"/>
  </si>
  <si>
    <t>CP4221</t>
    <phoneticPr fontId="7" type="noConversion"/>
  </si>
  <si>
    <t>Primnoidae</t>
    <phoneticPr fontId="7" type="noConversion"/>
  </si>
  <si>
    <t>單體珊瑚-2(小)</t>
    <phoneticPr fontId="7" type="noConversion"/>
  </si>
  <si>
    <t>單體珊瑚-1(大)</t>
    <phoneticPr fontId="7" type="noConversion"/>
  </si>
  <si>
    <t>sea cucumber</t>
    <phoneticPr fontId="7" type="noConversion"/>
  </si>
  <si>
    <t>sea cucumber</t>
    <phoneticPr fontId="7" type="noConversion"/>
  </si>
  <si>
    <t>Hexactinellida</t>
    <phoneticPr fontId="7" type="noConversion"/>
  </si>
  <si>
    <t>CP4221</t>
    <phoneticPr fontId="7" type="noConversion"/>
  </si>
  <si>
    <t>wood</t>
    <phoneticPr fontId="7" type="noConversion"/>
  </si>
  <si>
    <t>磷海樽</t>
    <phoneticPr fontId="7" type="noConversion"/>
  </si>
  <si>
    <t>海參</t>
    <phoneticPr fontId="7" type="noConversion"/>
  </si>
  <si>
    <r>
      <t>寄居蟹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異尾</t>
    </r>
    <r>
      <rPr>
        <sz val="10"/>
        <rFont val="Calibri"/>
        <family val="2"/>
      </rPr>
      <t>)</t>
    </r>
    <phoneticPr fontId="7" type="noConversion"/>
  </si>
  <si>
    <t>sea anemore with hemit crab</t>
    <phoneticPr fontId="7" type="noConversion"/>
  </si>
  <si>
    <t xml:space="preserve"> Brachiopoda</t>
  </si>
  <si>
    <t>Brachiopod</t>
    <phoneticPr fontId="7" type="noConversion"/>
  </si>
  <si>
    <t>NOR1_002B</t>
    <phoneticPr fontId="7" type="noConversion"/>
  </si>
  <si>
    <t>烏賊</t>
    <phoneticPr fontId="7" type="noConversion"/>
  </si>
  <si>
    <t>2 sp(Ophididat neobytuites, Ophididat sivicolla)</t>
    <phoneticPr fontId="7" type="noConversion"/>
  </si>
  <si>
    <t>Mud Stack(煙囟)</t>
  </si>
  <si>
    <t>Sponges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</si>
</sst>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;@"/>
    <numFmt numFmtId="177" formatCode="0.0000"/>
  </numFmts>
  <fonts count="2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i/>
      <sz val="10"/>
      <name val="Calibri"/>
      <family val="2"/>
    </font>
    <font>
      <sz val="10"/>
      <color theme="0" tint="-0.34998626667073579"/>
      <name val="Calibri"/>
      <family val="2"/>
    </font>
    <font>
      <sz val="10"/>
      <color theme="0" tint="-0.34998626667073579"/>
      <name val="新細明體"/>
      <family val="2"/>
      <charset val="136"/>
      <scheme val="minor"/>
    </font>
    <font>
      <sz val="12"/>
      <color theme="0"/>
      <name val="源泉圓體 R"/>
      <family val="2"/>
      <charset val="136"/>
    </font>
    <font>
      <sz val="11"/>
      <color theme="0"/>
      <name val="源泉圓體 R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00B0F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name val="新細明體"/>
      <family val="2"/>
      <scheme val="minor"/>
    </font>
    <font>
      <sz val="12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sz val="12"/>
      <color theme="0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19">
    <xf numFmtId="0" fontId="0" fillId="0" borderId="0" xfId="0"/>
    <xf numFmtId="0" fontId="6" fillId="0" borderId="1" xfId="2" applyFont="1" applyFill="1" applyBorder="1" applyAlignment="1"/>
    <xf numFmtId="0" fontId="0" fillId="0" borderId="1" xfId="0" applyFill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5" borderId="1" xfId="3" applyFont="1" applyFill="1" applyBorder="1" applyAlignment="1">
      <alignment horizontal="center" vertical="center"/>
    </xf>
    <xf numFmtId="0" fontId="11" fillId="5" borderId="1" xfId="3" applyFont="1" applyFill="1" applyBorder="1" applyAlignment="1">
      <alignment horizontal="center" vertical="center" wrapText="1"/>
    </xf>
    <xf numFmtId="0" fontId="11" fillId="5" borderId="3" xfId="3" applyFont="1" applyFill="1" applyBorder="1" applyAlignment="1">
      <alignment horizontal="center" vertical="center"/>
    </xf>
    <xf numFmtId="0" fontId="12" fillId="5" borderId="0" xfId="0" applyFont="1" applyFill="1"/>
    <xf numFmtId="0" fontId="13" fillId="0" borderId="1" xfId="0" applyFont="1" applyBorder="1" applyAlignment="1">
      <alignment horizontal="center" vertical="center"/>
    </xf>
    <xf numFmtId="0" fontId="0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Font="1" applyFill="1" applyBorder="1"/>
    <xf numFmtId="0" fontId="5" fillId="0" borderId="1" xfId="1" applyFont="1" applyFill="1" applyBorder="1" applyAlignment="1"/>
    <xf numFmtId="0" fontId="0" fillId="0" borderId="0" xfId="0" applyFont="1"/>
    <xf numFmtId="0" fontId="15" fillId="0" borderId="1" xfId="0" applyFont="1" applyBorder="1" applyAlignment="1">
      <alignment vertical="center"/>
    </xf>
    <xf numFmtId="0" fontId="5" fillId="0" borderId="1" xfId="2" applyFont="1" applyFill="1" applyBorder="1" applyAlignment="1"/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0" fillId="6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0" fillId="6" borderId="0" xfId="0" applyFont="1" applyFill="1"/>
    <xf numFmtId="0" fontId="14" fillId="7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4" fillId="6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11" fillId="5" borderId="1" xfId="3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0" fillId="8" borderId="1" xfId="0" applyFont="1" applyFill="1" applyBorder="1"/>
    <xf numFmtId="0" fontId="0" fillId="8" borderId="1" xfId="0" applyFill="1" applyBorder="1"/>
    <xf numFmtId="0" fontId="1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1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0" fillId="8" borderId="0" xfId="0" applyFill="1"/>
    <xf numFmtId="0" fontId="13" fillId="7" borderId="1" xfId="0" applyFont="1" applyFill="1" applyBorder="1" applyAlignment="1">
      <alignment horizontal="center" vertical="center"/>
    </xf>
    <xf numFmtId="0" fontId="0" fillId="0" borderId="0" xfId="0" applyFill="1"/>
    <xf numFmtId="0" fontId="9" fillId="0" borderId="1" xfId="0" applyFont="1" applyBorder="1" applyAlignment="1">
      <alignment horizontal="center" vertical="center"/>
    </xf>
    <xf numFmtId="0" fontId="4" fillId="0" borderId="1" xfId="2" applyFont="1" applyFill="1" applyBorder="1" applyAlignment="1"/>
    <xf numFmtId="0" fontId="6" fillId="0" borderId="4" xfId="2" applyFill="1" applyBorder="1" applyAlignment="1"/>
    <xf numFmtId="0" fontId="4" fillId="0" borderId="1" xfId="1" applyFont="1" applyFill="1" applyBorder="1" applyAlignment="1"/>
    <xf numFmtId="0" fontId="6" fillId="0" borderId="4" xfId="1" applyFill="1" applyBorder="1" applyAlignment="1"/>
    <xf numFmtId="0" fontId="18" fillId="7" borderId="1" xfId="1" applyFont="1" applyFill="1" applyBorder="1" applyAlignment="1"/>
    <xf numFmtId="0" fontId="4" fillId="9" borderId="1" xfId="2" applyFont="1" applyFill="1" applyBorder="1" applyAlignment="1"/>
    <xf numFmtId="0" fontId="0" fillId="9" borderId="1" xfId="0" applyFill="1" applyBorder="1"/>
    <xf numFmtId="0" fontId="6" fillId="9" borderId="1" xfId="2" applyFill="1" applyBorder="1" applyAlignment="1"/>
    <xf numFmtId="0" fontId="4" fillId="7" borderId="1" xfId="2" applyFont="1" applyFill="1" applyBorder="1" applyAlignment="1"/>
    <xf numFmtId="0" fontId="0" fillId="7" borderId="1" xfId="0" applyFill="1" applyBorder="1"/>
    <xf numFmtId="0" fontId="6" fillId="7" borderId="1" xfId="2" applyFill="1" applyBorder="1" applyAlignment="1"/>
    <xf numFmtId="0" fontId="19" fillId="0" borderId="1" xfId="2" applyFont="1" applyFill="1" applyBorder="1" applyAlignment="1"/>
    <xf numFmtId="0" fontId="4" fillId="9" borderId="1" xfId="1" applyFont="1" applyFill="1" applyBorder="1" applyAlignment="1"/>
    <xf numFmtId="0" fontId="6" fillId="9" borderId="1" xfId="1" applyFill="1" applyBorder="1" applyAlignment="1"/>
    <xf numFmtId="0" fontId="0" fillId="0" borderId="1" xfId="1" applyFont="1" applyFill="1" applyBorder="1" applyAlignment="1"/>
    <xf numFmtId="0" fontId="0" fillId="0" borderId="1" xfId="2" applyFont="1" applyFill="1" applyBorder="1" applyAlignment="1"/>
    <xf numFmtId="0" fontId="4" fillId="0" borderId="1" xfId="2" applyFont="1" applyFill="1" applyBorder="1" applyAlignment="1">
      <alignment wrapText="1"/>
    </xf>
    <xf numFmtId="0" fontId="14" fillId="0" borderId="2" xfId="0" applyFont="1" applyFill="1" applyBorder="1" applyAlignment="1">
      <alignment horizontal="center" vertical="center"/>
    </xf>
    <xf numFmtId="0" fontId="4" fillId="0" borderId="2" xfId="2" applyFont="1" applyFill="1" applyBorder="1" applyAlignment="1"/>
    <xf numFmtId="0" fontId="0" fillId="0" borderId="2" xfId="0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20" fillId="0" borderId="1" xfId="2" applyFont="1" applyFill="1" applyBorder="1" applyAlignment="1"/>
    <xf numFmtId="0" fontId="0" fillId="7" borderId="1" xfId="0" applyFont="1" applyFill="1" applyBorder="1" applyAlignment="1">
      <alignment horizontal="center"/>
    </xf>
    <xf numFmtId="0" fontId="3" fillId="0" borderId="1" xfId="1" applyFont="1" applyFill="1" applyBorder="1" applyAlignment="1"/>
    <xf numFmtId="0" fontId="13" fillId="0" borderId="1" xfId="0" applyFont="1" applyBorder="1" applyAlignment="1">
      <alignment vertical="center"/>
    </xf>
    <xf numFmtId="0" fontId="21" fillId="0" borderId="1" xfId="0" applyFont="1" applyFill="1" applyBorder="1"/>
    <xf numFmtId="0" fontId="22" fillId="0" borderId="1" xfId="1" applyFont="1" applyFill="1" applyBorder="1" applyAlignment="1"/>
    <xf numFmtId="0" fontId="17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4" fillId="7" borderId="2" xfId="0" applyFont="1" applyFill="1" applyBorder="1" applyAlignment="1">
      <alignment vertical="center"/>
    </xf>
    <xf numFmtId="0" fontId="0" fillId="7" borderId="0" xfId="0" applyFill="1"/>
    <xf numFmtId="0" fontId="0" fillId="0" borderId="0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1" xfId="1" applyFill="1" applyBorder="1" applyAlignment="1"/>
    <xf numFmtId="0" fontId="6" fillId="0" borderId="1" xfId="2" applyFill="1" applyBorder="1" applyAlignment="1"/>
    <xf numFmtId="0" fontId="6" fillId="0" borderId="2" xfId="2" applyFill="1" applyBorder="1" applyAlignment="1"/>
    <xf numFmtId="0" fontId="6" fillId="0" borderId="6" xfId="2" applyFill="1" applyBorder="1" applyAlignment="1"/>
    <xf numFmtId="0" fontId="11" fillId="5" borderId="2" xfId="6" applyFont="1" applyFill="1" applyBorder="1" applyAlignment="1">
      <alignment horizontal="center" vertical="center"/>
    </xf>
    <xf numFmtId="0" fontId="11" fillId="5" borderId="2" xfId="6" applyFont="1" applyFill="1" applyBorder="1" applyAlignment="1">
      <alignment horizontal="center" vertical="center" wrapText="1"/>
    </xf>
    <xf numFmtId="0" fontId="11" fillId="5" borderId="7" xfId="6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 vertical="center" wrapText="1"/>
    </xf>
    <xf numFmtId="0" fontId="11" fillId="5" borderId="1" xfId="6" applyFont="1" applyFill="1" applyBorder="1" applyAlignment="1">
      <alignment horizontal="center" vertical="center"/>
    </xf>
    <xf numFmtId="0" fontId="0" fillId="12" borderId="1" xfId="0" applyFill="1" applyBorder="1"/>
    <xf numFmtId="176" fontId="25" fillId="0" borderId="1" xfId="0" applyNumberFormat="1" applyFont="1" applyBorder="1" applyAlignment="1">
      <alignment horizontal="center" vertical="center"/>
    </xf>
    <xf numFmtId="177" fontId="0" fillId="6" borderId="8" xfId="0" applyNumberFormat="1" applyFill="1" applyBorder="1"/>
    <xf numFmtId="177" fontId="0" fillId="6" borderId="1" xfId="0" applyNumberFormat="1" applyFill="1" applyBorder="1"/>
    <xf numFmtId="20" fontId="0" fillId="6" borderId="1" xfId="0" applyNumberFormat="1" applyFill="1" applyBorder="1"/>
    <xf numFmtId="177" fontId="0" fillId="0" borderId="4" xfId="0" applyNumberFormat="1" applyBorder="1"/>
    <xf numFmtId="177" fontId="0" fillId="0" borderId="1" xfId="0" applyNumberFormat="1" applyBorder="1"/>
    <xf numFmtId="20" fontId="20" fillId="0" borderId="1" xfId="7" applyNumberFormat="1" applyFont="1" applyFill="1" applyBorder="1" applyAlignment="1"/>
    <xf numFmtId="0" fontId="0" fillId="6" borderId="9" xfId="0" applyFill="1" applyBorder="1"/>
    <xf numFmtId="0" fontId="0" fillId="6" borderId="1" xfId="0" applyFill="1" applyBorder="1"/>
    <xf numFmtId="20" fontId="0" fillId="0" borderId="3" xfId="0" applyNumberFormat="1" applyBorder="1"/>
    <xf numFmtId="20" fontId="2" fillId="7" borderId="1" xfId="7" applyNumberFormat="1" applyFill="1" applyBorder="1" applyAlignment="1"/>
    <xf numFmtId="0" fontId="2" fillId="7" borderId="1" xfId="8" applyFill="1" applyBorder="1" applyAlignment="1"/>
    <xf numFmtId="0" fontId="26" fillId="0" borderId="1" xfId="0" applyFont="1" applyBorder="1"/>
    <xf numFmtId="177" fontId="0" fillId="7" borderId="4" xfId="0" applyNumberFormat="1" applyFill="1" applyBorder="1"/>
    <xf numFmtId="177" fontId="0" fillId="7" borderId="1" xfId="0" applyNumberFormat="1" applyFill="1" applyBorder="1"/>
    <xf numFmtId="20" fontId="2" fillId="7" borderId="1" xfId="8" applyNumberFormat="1" applyFill="1" applyBorder="1" applyAlignment="1"/>
    <xf numFmtId="177" fontId="0" fillId="6" borderId="10" xfId="0" applyNumberFormat="1" applyFill="1" applyBorder="1"/>
    <xf numFmtId="177" fontId="0" fillId="6" borderId="2" xfId="0" applyNumberFormat="1" applyFill="1" applyBorder="1"/>
    <xf numFmtId="177" fontId="0" fillId="0" borderId="1" xfId="0" applyNumberFormat="1" applyFill="1" applyBorder="1"/>
    <xf numFmtId="0" fontId="20" fillId="0" borderId="1" xfId="7" applyFont="1" applyFill="1" applyBorder="1" applyAlignment="1"/>
    <xf numFmtId="0" fontId="0" fillId="6" borderId="2" xfId="0" applyFill="1" applyBorder="1"/>
    <xf numFmtId="177" fontId="0" fillId="0" borderId="11" xfId="0" applyNumberFormat="1" applyBorder="1"/>
    <xf numFmtId="177" fontId="0" fillId="0" borderId="2" xfId="0" applyNumberFormat="1" applyBorder="1"/>
    <xf numFmtId="20" fontId="0" fillId="0" borderId="7" xfId="0" applyNumberFormat="1" applyBorder="1"/>
    <xf numFmtId="177" fontId="0" fillId="6" borderId="4" xfId="0" applyNumberFormat="1" applyFill="1" applyBorder="1"/>
    <xf numFmtId="20" fontId="0" fillId="0" borderId="1" xfId="0" applyNumberFormat="1" applyBorder="1"/>
    <xf numFmtId="20" fontId="0" fillId="7" borderId="1" xfId="0" applyNumberFormat="1" applyFill="1" applyBorder="1"/>
    <xf numFmtId="20" fontId="0" fillId="0" borderId="1" xfId="0" applyNumberFormat="1" applyFill="1" applyBorder="1"/>
    <xf numFmtId="0" fontId="0" fillId="0" borderId="0" xfId="0" applyFill="1" applyBorder="1"/>
    <xf numFmtId="0" fontId="2" fillId="0" borderId="0" xfId="5" applyFill="1" applyBorder="1" applyAlignment="1"/>
    <xf numFmtId="0" fontId="2" fillId="0" borderId="0" xfId="7" applyFill="1" applyBorder="1" applyAlignment="1"/>
    <xf numFmtId="0" fontId="24" fillId="0" borderId="0" xfId="4" applyFill="1" applyBorder="1" applyAlignment="1"/>
    <xf numFmtId="0" fontId="13" fillId="0" borderId="2" xfId="0" applyFont="1" applyBorder="1" applyAlignment="1">
      <alignment horizontal="center" vertical="center"/>
    </xf>
    <xf numFmtId="0" fontId="6" fillId="0" borderId="6" xfId="2" applyFill="1" applyBorder="1" applyAlignment="1">
      <alignment horizontal="center"/>
    </xf>
    <xf numFmtId="0" fontId="6" fillId="0" borderId="1" xfId="1" applyFill="1" applyBorder="1" applyAlignment="1"/>
    <xf numFmtId="0" fontId="6" fillId="0" borderId="1" xfId="2" applyFill="1" applyBorder="1" applyAlignment="1"/>
    <xf numFmtId="0" fontId="6" fillId="0" borderId="1" xfId="1" applyFill="1" applyBorder="1" applyAlignment="1">
      <alignment horizontal="center"/>
    </xf>
    <xf numFmtId="0" fontId="6" fillId="0" borderId="1" xfId="2" applyFill="1" applyBorder="1" applyAlignment="1">
      <alignment horizontal="center"/>
    </xf>
    <xf numFmtId="0" fontId="0" fillId="7" borderId="1" xfId="0" applyFont="1" applyFill="1" applyBorder="1"/>
    <xf numFmtId="0" fontId="9" fillId="7" borderId="1" xfId="0" applyFont="1" applyFill="1" applyBorder="1" applyAlignment="1">
      <alignment vertical="center"/>
    </xf>
    <xf numFmtId="0" fontId="0" fillId="7" borderId="0" xfId="0" applyFont="1" applyFill="1" applyAlignment="1">
      <alignment horizontal="center"/>
    </xf>
    <xf numFmtId="0" fontId="6" fillId="7" borderId="1" xfId="1" applyFont="1" applyFill="1" applyBorder="1" applyAlignment="1"/>
    <xf numFmtId="0" fontId="6" fillId="7" borderId="1" xfId="2" applyFont="1" applyFill="1" applyBorder="1" applyAlignment="1"/>
    <xf numFmtId="0" fontId="0" fillId="0" borderId="0" xfId="0" applyFont="1" applyBorder="1" applyAlignment="1">
      <alignment horizontal="center"/>
    </xf>
    <xf numFmtId="0" fontId="23" fillId="0" borderId="1" xfId="0" applyFont="1" applyBorder="1"/>
    <xf numFmtId="0" fontId="23" fillId="0" borderId="1" xfId="0" applyFont="1" applyFill="1" applyBorder="1"/>
    <xf numFmtId="0" fontId="14" fillId="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0" fillId="9" borderId="1" xfId="0" applyFont="1" applyFill="1" applyBorder="1"/>
    <xf numFmtId="0" fontId="3" fillId="9" borderId="1" xfId="1" applyFont="1" applyFill="1" applyBorder="1" applyAlignment="1"/>
    <xf numFmtId="0" fontId="0" fillId="9" borderId="0" xfId="0" applyFill="1"/>
    <xf numFmtId="0" fontId="17" fillId="9" borderId="1" xfId="0" applyFont="1" applyFill="1" applyBorder="1" applyAlignment="1">
      <alignment horizontal="left" vertical="center"/>
    </xf>
    <xf numFmtId="0" fontId="6" fillId="12" borderId="1" xfId="1" applyFill="1" applyBorder="1" applyAlignment="1"/>
    <xf numFmtId="0" fontId="20" fillId="0" borderId="6" xfId="2" applyFont="1" applyFill="1" applyBorder="1" applyAlignment="1"/>
    <xf numFmtId="0" fontId="14" fillId="0" borderId="6" xfId="0" applyFont="1" applyFill="1" applyBorder="1" applyAlignment="1">
      <alignment horizontal="center" vertical="center"/>
    </xf>
    <xf numFmtId="0" fontId="4" fillId="0" borderId="6" xfId="2" applyFont="1" applyFill="1" applyBorder="1" applyAlignment="1"/>
    <xf numFmtId="0" fontId="0" fillId="0" borderId="6" xfId="0" applyBorder="1"/>
    <xf numFmtId="0" fontId="17" fillId="0" borderId="1" xfId="0" applyFont="1" applyFill="1" applyBorder="1" applyAlignment="1">
      <alignment vertical="center"/>
    </xf>
    <xf numFmtId="0" fontId="0" fillId="0" borderId="0" xfId="0" applyBorder="1"/>
    <xf numFmtId="0" fontId="0" fillId="0" borderId="0" xfId="0" applyFont="1" applyBorder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1" fillId="0" borderId="0" xfId="0" applyFont="1" applyFill="1" applyBorder="1"/>
    <xf numFmtId="0" fontId="22" fillId="0" borderId="0" xfId="1" applyFont="1" applyFill="1" applyBorder="1" applyAlignment="1"/>
    <xf numFmtId="0" fontId="6" fillId="0" borderId="0" xfId="2" applyFont="1" applyFill="1" applyBorder="1" applyAlignment="1"/>
    <xf numFmtId="0" fontId="0" fillId="0" borderId="0" xfId="0" applyFont="1" applyBorder="1" applyAlignment="1"/>
    <xf numFmtId="0" fontId="6" fillId="0" borderId="2" xfId="1" applyFill="1" applyBorder="1" applyAlignment="1"/>
    <xf numFmtId="0" fontId="6" fillId="0" borderId="5" xfId="1" applyFill="1" applyBorder="1" applyAlignment="1"/>
    <xf numFmtId="0" fontId="6" fillId="0" borderId="6" xfId="1" applyFill="1" applyBorder="1" applyAlignment="1"/>
    <xf numFmtId="0" fontId="6" fillId="0" borderId="1" xfId="1" applyFill="1" applyBorder="1" applyAlignment="1"/>
    <xf numFmtId="0" fontId="6" fillId="0" borderId="2" xfId="2" applyFill="1" applyBorder="1" applyAlignment="1">
      <alignment horizontal="center"/>
    </xf>
    <xf numFmtId="0" fontId="6" fillId="0" borderId="5" xfId="2" applyFill="1" applyBorder="1" applyAlignment="1">
      <alignment horizontal="center"/>
    </xf>
    <xf numFmtId="0" fontId="6" fillId="0" borderId="6" xfId="2" applyFill="1" applyBorder="1" applyAlignment="1">
      <alignment horizontal="center"/>
    </xf>
    <xf numFmtId="0" fontId="6" fillId="0" borderId="1" xfId="2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6" fillId="0" borderId="2" xfId="1" applyFill="1" applyBorder="1" applyAlignment="1">
      <alignment horizontal="center"/>
    </xf>
    <xf numFmtId="0" fontId="6" fillId="0" borderId="6" xfId="1" applyFill="1" applyBorder="1" applyAlignment="1">
      <alignment horizontal="center"/>
    </xf>
    <xf numFmtId="0" fontId="6" fillId="0" borderId="1" xfId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2" xfId="2" applyFill="1" applyBorder="1" applyAlignment="1"/>
    <xf numFmtId="0" fontId="6" fillId="0" borderId="5" xfId="2" applyFill="1" applyBorder="1" applyAlignment="1"/>
    <xf numFmtId="0" fontId="6" fillId="0" borderId="6" xfId="2" applyFill="1" applyBorder="1" applyAlignment="1"/>
    <xf numFmtId="0" fontId="6" fillId="0" borderId="1" xfId="2" applyFill="1" applyBorder="1" applyAlignment="1"/>
    <xf numFmtId="0" fontId="0" fillId="0" borderId="1" xfId="0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0" fillId="0" borderId="0" xfId="0" applyAlignment="1"/>
    <xf numFmtId="0" fontId="4" fillId="0" borderId="1" xfId="2" applyFont="1" applyFill="1" applyBorder="1" applyAlignment="1">
      <alignment horizontal="center"/>
    </xf>
    <xf numFmtId="0" fontId="11" fillId="5" borderId="1" xfId="3" applyFont="1" applyFill="1" applyBorder="1" applyAlignment="1">
      <alignment horizontal="left" vertical="center" wrapText="1"/>
    </xf>
    <xf numFmtId="0" fontId="6" fillId="0" borderId="1" xfId="2" applyFill="1" applyBorder="1" applyAlignment="1">
      <alignment horizontal="left"/>
    </xf>
    <xf numFmtId="0" fontId="6" fillId="0" borderId="1" xfId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16" fillId="6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</cellXfs>
  <cellStyles count="9">
    <cellStyle name="20% - 輔色1" xfId="1" builtinId="30"/>
    <cellStyle name="20% - 輔色1 2" xfId="7"/>
    <cellStyle name="20% - 輔色6" xfId="5" builtinId="50"/>
    <cellStyle name="40% - 輔色1" xfId="2" builtinId="31"/>
    <cellStyle name="40% - 輔色1 2" xfId="8"/>
    <cellStyle name="60% - 輔色1" xfId="3" builtinId="32"/>
    <cellStyle name="60% - 輔色1 2" xfId="6"/>
    <cellStyle name="一般" xfId="0" builtinId="0"/>
    <cellStyle name="輔色6" xfId="4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opLeftCell="A50" zoomScaleNormal="100" workbookViewId="0">
      <selection activeCell="A11" sqref="A11:L82"/>
    </sheetView>
  </sheetViews>
  <sheetFormatPr defaultRowHeight="15.75"/>
  <cols>
    <col min="1" max="1" width="12.42578125" bestFit="1" customWidth="1"/>
    <col min="2" max="2" width="12.140625" style="19" customWidth="1"/>
    <col min="3" max="3" width="18.5703125" style="32" customWidth="1"/>
    <col min="4" max="4" width="30.140625" style="202" customWidth="1"/>
    <col min="5" max="5" width="18.85546875" hidden="1" customWidth="1"/>
    <col min="6" max="6" width="18.42578125" hidden="1" customWidth="1"/>
    <col min="7" max="7" width="10" hidden="1" customWidth="1"/>
    <col min="8" max="8" width="10.85546875" hidden="1" customWidth="1"/>
    <col min="9" max="9" width="12.28515625" style="32" customWidth="1"/>
    <col min="10" max="10" width="14.7109375" style="19" bestFit="1" customWidth="1"/>
    <col min="11" max="11" width="22.140625" hidden="1" customWidth="1"/>
    <col min="12" max="12" width="44.42578125" bestFit="1" customWidth="1"/>
  </cols>
  <sheetData>
    <row r="1" spans="1:12" s="11" customFormat="1" ht="18.75" customHeight="1">
      <c r="A1" s="8" t="s">
        <v>9</v>
      </c>
      <c r="B1" s="8" t="s">
        <v>18</v>
      </c>
      <c r="C1" s="8" t="s">
        <v>10</v>
      </c>
      <c r="D1" s="38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>
      <c r="A2" s="3"/>
      <c r="B2" s="7" t="s">
        <v>11</v>
      </c>
      <c r="C2" s="53" t="s">
        <v>13</v>
      </c>
      <c r="D2" s="7" t="s">
        <v>14</v>
      </c>
      <c r="E2" s="7" t="s">
        <v>15</v>
      </c>
      <c r="F2" s="7" t="s">
        <v>16</v>
      </c>
      <c r="G2" s="3"/>
      <c r="H2" s="5"/>
      <c r="I2" s="12"/>
      <c r="J2" s="12"/>
      <c r="K2" s="2"/>
      <c r="L2" s="7" t="s">
        <v>17</v>
      </c>
    </row>
    <row r="3" spans="1:12" s="86" customFormat="1" ht="16.5">
      <c r="A3" s="139" t="s">
        <v>32</v>
      </c>
      <c r="B3" s="30" t="s">
        <v>20</v>
      </c>
      <c r="C3" s="77"/>
      <c r="D3" s="201" t="s">
        <v>56</v>
      </c>
      <c r="E3" s="140"/>
      <c r="F3" s="140"/>
      <c r="G3" s="88"/>
      <c r="H3" s="88"/>
      <c r="I3" s="141"/>
      <c r="J3" s="51">
        <v>11</v>
      </c>
      <c r="K3" s="63"/>
      <c r="L3" s="142"/>
    </row>
    <row r="4" spans="1:12" s="86" customFormat="1" ht="16.5">
      <c r="A4" s="139" t="s">
        <v>32</v>
      </c>
      <c r="B4" s="30" t="s">
        <v>20</v>
      </c>
      <c r="C4" s="77"/>
      <c r="D4" s="201" t="s">
        <v>57</v>
      </c>
      <c r="E4" s="88"/>
      <c r="F4" s="88"/>
      <c r="G4" s="88"/>
      <c r="H4" s="88"/>
      <c r="I4" s="51"/>
      <c r="J4" s="51">
        <v>12</v>
      </c>
      <c r="K4" s="63"/>
      <c r="L4" s="143"/>
    </row>
    <row r="5" spans="1:12" s="86" customFormat="1">
      <c r="A5" s="139" t="s">
        <v>31</v>
      </c>
      <c r="B5" s="30" t="s">
        <v>19</v>
      </c>
      <c r="C5" s="77"/>
      <c r="D5" s="201" t="s">
        <v>58</v>
      </c>
      <c r="E5" s="88"/>
      <c r="F5" s="88"/>
      <c r="G5" s="88"/>
      <c r="H5" s="88"/>
      <c r="I5" s="51"/>
      <c r="J5" s="51">
        <v>2</v>
      </c>
      <c r="K5" s="63"/>
      <c r="L5" s="63"/>
    </row>
    <row r="6" spans="1:12" s="86" customFormat="1">
      <c r="A6" s="139" t="s">
        <v>31</v>
      </c>
      <c r="B6" s="30" t="s">
        <v>19</v>
      </c>
      <c r="C6" s="77"/>
      <c r="D6" s="201" t="s">
        <v>59</v>
      </c>
      <c r="E6" s="88"/>
      <c r="F6" s="88"/>
      <c r="G6" s="88"/>
      <c r="H6" s="88"/>
      <c r="I6" s="51"/>
      <c r="J6" s="51">
        <v>7</v>
      </c>
      <c r="K6" s="63"/>
      <c r="L6" s="63"/>
    </row>
    <row r="7" spans="1:12" s="86" customFormat="1">
      <c r="A7" s="139" t="s">
        <v>31</v>
      </c>
      <c r="B7" s="30" t="s">
        <v>19</v>
      </c>
      <c r="C7" s="77"/>
      <c r="D7" s="201" t="s">
        <v>60</v>
      </c>
      <c r="E7" s="88"/>
      <c r="F7" s="88"/>
      <c r="G7" s="88"/>
      <c r="H7" s="88"/>
      <c r="I7" s="51"/>
      <c r="J7" s="51">
        <v>1</v>
      </c>
      <c r="K7" s="63"/>
      <c r="L7" s="63"/>
    </row>
    <row r="8" spans="1:12" s="86" customFormat="1">
      <c r="A8" s="139" t="s">
        <v>31</v>
      </c>
      <c r="B8" s="30" t="s">
        <v>19</v>
      </c>
      <c r="C8" s="77"/>
      <c r="D8" s="201" t="s">
        <v>61</v>
      </c>
      <c r="E8" s="88"/>
      <c r="F8" s="88"/>
      <c r="G8" s="88"/>
      <c r="H8" s="88"/>
      <c r="I8" s="51"/>
      <c r="J8" s="51">
        <v>3</v>
      </c>
      <c r="K8" s="63"/>
      <c r="L8" s="63"/>
    </row>
    <row r="9" spans="1:12" s="86" customFormat="1">
      <c r="A9" s="139" t="s">
        <v>31</v>
      </c>
      <c r="B9" s="30" t="s">
        <v>19</v>
      </c>
      <c r="C9" s="77"/>
      <c r="D9" s="201" t="s">
        <v>62</v>
      </c>
      <c r="E9" s="88"/>
      <c r="F9" s="88"/>
      <c r="G9" s="88"/>
      <c r="H9" s="88"/>
      <c r="I9" s="51"/>
      <c r="J9" s="51">
        <v>1</v>
      </c>
      <c r="K9" s="63"/>
      <c r="L9" s="63"/>
    </row>
    <row r="10" spans="1:12" s="86" customFormat="1">
      <c r="A10" s="139" t="s">
        <v>31</v>
      </c>
      <c r="B10" s="30" t="s">
        <v>19</v>
      </c>
      <c r="C10" s="77"/>
      <c r="D10" s="201"/>
      <c r="E10" s="88"/>
      <c r="F10" s="88"/>
      <c r="G10" s="88"/>
      <c r="H10" s="88"/>
      <c r="I10" s="51"/>
      <c r="J10" s="51">
        <v>1</v>
      </c>
      <c r="K10" s="63"/>
      <c r="L10" s="63"/>
    </row>
    <row r="11" spans="1:12" ht="15" customHeight="1">
      <c r="A11" s="76" t="s">
        <v>418</v>
      </c>
      <c r="B11" s="34" t="s">
        <v>68</v>
      </c>
      <c r="C11" s="54"/>
      <c r="D11" s="54" t="s">
        <v>33</v>
      </c>
      <c r="E11" s="92" t="s">
        <v>93</v>
      </c>
      <c r="F11" s="92"/>
      <c r="G11" s="92"/>
      <c r="H11" s="92"/>
      <c r="I11" s="92">
        <v>20</v>
      </c>
      <c r="J11" s="92">
        <v>11</v>
      </c>
      <c r="K11" s="92"/>
      <c r="L11" s="92"/>
    </row>
    <row r="12" spans="1:12" ht="16.5">
      <c r="A12" s="76" t="s">
        <v>418</v>
      </c>
      <c r="B12" s="34" t="s">
        <v>111</v>
      </c>
      <c r="C12" s="54"/>
      <c r="D12" s="54" t="s">
        <v>33</v>
      </c>
      <c r="E12" s="3" t="s">
        <v>93</v>
      </c>
      <c r="F12" s="3"/>
      <c r="G12" s="3"/>
      <c r="H12" s="92"/>
      <c r="I12" s="92">
        <v>498</v>
      </c>
      <c r="J12" s="92">
        <v>12</v>
      </c>
      <c r="K12" s="92"/>
      <c r="L12" s="92"/>
    </row>
    <row r="13" spans="1:12" ht="16.5">
      <c r="A13" s="76" t="s">
        <v>418</v>
      </c>
      <c r="B13" s="34" t="s">
        <v>158</v>
      </c>
      <c r="C13" s="54"/>
      <c r="D13" s="54" t="s">
        <v>159</v>
      </c>
      <c r="E13" s="3" t="s">
        <v>93</v>
      </c>
      <c r="F13" s="3" t="s">
        <v>160</v>
      </c>
      <c r="G13" s="3" t="s">
        <v>161</v>
      </c>
      <c r="H13" s="92"/>
      <c r="I13" s="92"/>
      <c r="J13" s="92">
        <v>1</v>
      </c>
      <c r="K13" s="92"/>
      <c r="L13" s="92"/>
    </row>
    <row r="14" spans="1:12" ht="16.5">
      <c r="A14" s="76" t="s">
        <v>418</v>
      </c>
      <c r="B14" s="34" t="s">
        <v>162</v>
      </c>
      <c r="C14" s="56"/>
      <c r="D14" s="54" t="s">
        <v>163</v>
      </c>
      <c r="E14" s="3" t="s">
        <v>93</v>
      </c>
      <c r="F14" s="3" t="s">
        <v>160</v>
      </c>
      <c r="G14" s="3" t="s">
        <v>164</v>
      </c>
      <c r="H14" s="91"/>
      <c r="I14" s="91">
        <v>509</v>
      </c>
      <c r="J14" s="91">
        <v>1</v>
      </c>
      <c r="K14" s="91"/>
      <c r="L14" s="91"/>
    </row>
    <row r="15" spans="1:12" ht="16.5">
      <c r="A15" s="76" t="s">
        <v>418</v>
      </c>
      <c r="B15" s="34" t="s">
        <v>195</v>
      </c>
      <c r="C15" s="54"/>
      <c r="D15" s="54" t="s">
        <v>198</v>
      </c>
      <c r="E15" s="3" t="s">
        <v>93</v>
      </c>
      <c r="F15" s="3" t="s">
        <v>199</v>
      </c>
      <c r="G15" s="3"/>
      <c r="H15" s="92"/>
      <c r="I15" s="92"/>
      <c r="J15" s="92">
        <v>1</v>
      </c>
      <c r="K15" s="92"/>
      <c r="L15" s="92"/>
    </row>
    <row r="16" spans="1:12" ht="16.5">
      <c r="A16" s="76" t="s">
        <v>418</v>
      </c>
      <c r="B16" s="34" t="s">
        <v>195</v>
      </c>
      <c r="C16" s="56"/>
      <c r="D16" s="54" t="s">
        <v>33</v>
      </c>
      <c r="E16" s="3" t="s">
        <v>93</v>
      </c>
      <c r="F16" s="3"/>
      <c r="G16" s="3"/>
      <c r="H16" s="91"/>
      <c r="I16" s="91">
        <v>122</v>
      </c>
      <c r="J16" s="91">
        <v>12</v>
      </c>
      <c r="K16" s="91"/>
      <c r="L16" s="91"/>
    </row>
    <row r="17" spans="1:12" ht="16.5">
      <c r="A17" s="76" t="s">
        <v>418</v>
      </c>
      <c r="B17" s="34" t="s">
        <v>208</v>
      </c>
      <c r="C17" s="54"/>
      <c r="D17" s="54" t="s">
        <v>33</v>
      </c>
      <c r="E17" s="3" t="s">
        <v>93</v>
      </c>
      <c r="F17" s="3"/>
      <c r="G17" s="3"/>
      <c r="H17" s="92"/>
      <c r="I17" s="92">
        <v>3310</v>
      </c>
      <c r="J17" s="92"/>
      <c r="K17" s="92"/>
      <c r="L17" s="92"/>
    </row>
    <row r="18" spans="1:12" ht="16.5">
      <c r="A18" s="76" t="s">
        <v>418</v>
      </c>
      <c r="B18" s="34" t="s">
        <v>229</v>
      </c>
      <c r="C18" s="54"/>
      <c r="D18" s="54" t="s">
        <v>33</v>
      </c>
      <c r="E18" s="3" t="s">
        <v>93</v>
      </c>
      <c r="F18" s="3"/>
      <c r="G18" s="3"/>
      <c r="H18" s="92"/>
      <c r="I18" s="92"/>
      <c r="J18" s="92">
        <v>10</v>
      </c>
      <c r="K18" s="92"/>
      <c r="L18" s="92"/>
    </row>
    <row r="19" spans="1:12" ht="16.5">
      <c r="A19" s="76" t="s">
        <v>418</v>
      </c>
      <c r="B19" s="34" t="s">
        <v>255</v>
      </c>
      <c r="C19" s="54"/>
      <c r="D19" s="54" t="s">
        <v>33</v>
      </c>
      <c r="E19" s="3" t="s">
        <v>93</v>
      </c>
      <c r="F19" s="3"/>
      <c r="G19" s="3"/>
      <c r="H19" s="92"/>
      <c r="I19" s="92"/>
      <c r="J19" s="92">
        <v>9</v>
      </c>
      <c r="K19" s="92"/>
      <c r="L19" s="92"/>
    </row>
    <row r="20" spans="1:12" ht="16.5">
      <c r="A20" s="76" t="s">
        <v>418</v>
      </c>
      <c r="B20" s="34" t="s">
        <v>275</v>
      </c>
      <c r="C20" s="54"/>
      <c r="D20" s="54" t="s">
        <v>33</v>
      </c>
      <c r="E20" s="3" t="s">
        <v>93</v>
      </c>
      <c r="F20" s="3"/>
      <c r="G20" s="3"/>
      <c r="H20" s="92"/>
      <c r="I20" s="92"/>
      <c r="J20" s="92">
        <v>1</v>
      </c>
      <c r="K20" s="92"/>
      <c r="L20" s="92"/>
    </row>
    <row r="21" spans="1:12" ht="16.5">
      <c r="A21" s="76" t="s">
        <v>418</v>
      </c>
      <c r="B21" s="34" t="s">
        <v>277</v>
      </c>
      <c r="C21" s="56"/>
      <c r="D21" s="54" t="s">
        <v>33</v>
      </c>
      <c r="E21" s="3" t="s">
        <v>93</v>
      </c>
      <c r="F21" s="3"/>
      <c r="G21" s="3"/>
      <c r="H21" s="91"/>
      <c r="I21" s="91"/>
      <c r="J21" s="91">
        <v>2</v>
      </c>
      <c r="K21" s="91"/>
      <c r="L21" s="91"/>
    </row>
    <row r="22" spans="1:12" ht="16.5">
      <c r="A22" s="76" t="s">
        <v>418</v>
      </c>
      <c r="B22" s="34" t="s">
        <v>291</v>
      </c>
      <c r="C22" s="54"/>
      <c r="D22" s="54" t="s">
        <v>33</v>
      </c>
      <c r="E22" s="3" t="s">
        <v>93</v>
      </c>
      <c r="F22" s="3"/>
      <c r="G22" s="3"/>
      <c r="H22" s="92"/>
      <c r="I22" s="92">
        <v>318</v>
      </c>
      <c r="J22" s="92">
        <v>3</v>
      </c>
      <c r="K22" s="54"/>
      <c r="L22" s="54" t="s">
        <v>292</v>
      </c>
    </row>
    <row r="23" spans="1:12" ht="16.5">
      <c r="A23" s="76" t="s">
        <v>418</v>
      </c>
      <c r="B23" s="34" t="s">
        <v>300</v>
      </c>
      <c r="C23" s="54"/>
      <c r="D23" s="54" t="s">
        <v>33</v>
      </c>
      <c r="E23" s="3" t="s">
        <v>93</v>
      </c>
      <c r="F23" s="3"/>
      <c r="G23" s="3"/>
      <c r="H23" s="92"/>
      <c r="I23" s="92"/>
      <c r="J23" s="92">
        <v>1</v>
      </c>
      <c r="K23" s="54"/>
      <c r="L23" s="54"/>
    </row>
    <row r="24" spans="1:12" ht="16.5">
      <c r="A24" s="76" t="s">
        <v>418</v>
      </c>
      <c r="B24" s="34" t="s">
        <v>301</v>
      </c>
      <c r="C24" s="56"/>
      <c r="D24" s="54" t="s">
        <v>33</v>
      </c>
      <c r="E24" s="3" t="s">
        <v>93</v>
      </c>
      <c r="F24" s="3"/>
      <c r="G24" s="3"/>
      <c r="H24" s="91"/>
      <c r="I24" s="91"/>
      <c r="J24" s="91">
        <v>2</v>
      </c>
      <c r="K24" s="91"/>
      <c r="L24" s="91"/>
    </row>
    <row r="25" spans="1:12" ht="16.5">
      <c r="A25" s="76" t="s">
        <v>418</v>
      </c>
      <c r="B25" s="34" t="s">
        <v>304</v>
      </c>
      <c r="C25" s="56"/>
      <c r="D25" s="54" t="s">
        <v>33</v>
      </c>
      <c r="E25" s="3" t="s">
        <v>93</v>
      </c>
      <c r="F25" s="3"/>
      <c r="G25" s="3"/>
      <c r="H25" s="91"/>
      <c r="I25" s="91"/>
      <c r="J25" s="91">
        <v>18</v>
      </c>
      <c r="K25" s="91"/>
      <c r="L25" s="91"/>
    </row>
    <row r="26" spans="1:12" ht="16.5">
      <c r="A26" s="76" t="s">
        <v>418</v>
      </c>
      <c r="B26" s="34" t="s">
        <v>332</v>
      </c>
      <c r="C26" s="54"/>
      <c r="D26" s="54" t="s">
        <v>33</v>
      </c>
      <c r="E26" s="3" t="s">
        <v>93</v>
      </c>
      <c r="F26" s="3"/>
      <c r="G26" s="3"/>
      <c r="H26" s="92"/>
      <c r="I26" s="92"/>
      <c r="J26" s="92">
        <v>15</v>
      </c>
      <c r="K26" s="54"/>
      <c r="L26" s="54"/>
    </row>
    <row r="27" spans="1:12" ht="16.5">
      <c r="A27" s="76" t="s">
        <v>418</v>
      </c>
      <c r="B27" s="34" t="s">
        <v>353</v>
      </c>
      <c r="C27" s="56"/>
      <c r="D27" s="54" t="s">
        <v>33</v>
      </c>
      <c r="E27" s="3" t="s">
        <v>93</v>
      </c>
      <c r="F27" s="3"/>
      <c r="G27" s="3"/>
      <c r="H27" s="91"/>
      <c r="I27" s="91"/>
      <c r="J27" s="91">
        <v>11</v>
      </c>
      <c r="K27" s="91"/>
      <c r="L27" s="91"/>
    </row>
    <row r="28" spans="1:12" s="129" customFormat="1" ht="16.5">
      <c r="A28" s="76" t="s">
        <v>418</v>
      </c>
      <c r="B28" s="34" t="s">
        <v>372</v>
      </c>
      <c r="C28" s="56"/>
      <c r="D28" s="54" t="s">
        <v>33</v>
      </c>
      <c r="E28" s="3" t="s">
        <v>93</v>
      </c>
      <c r="F28" s="3"/>
      <c r="G28" s="3"/>
      <c r="H28" s="91"/>
      <c r="I28" s="91"/>
      <c r="J28" s="91">
        <v>10</v>
      </c>
      <c r="K28" s="91"/>
      <c r="L28" s="91"/>
    </row>
    <row r="29" spans="1:12" s="129" customFormat="1" ht="16.5">
      <c r="A29" s="76" t="s">
        <v>418</v>
      </c>
      <c r="B29" s="34" t="s">
        <v>406</v>
      </c>
      <c r="C29" s="56"/>
      <c r="D29" s="54" t="s">
        <v>33</v>
      </c>
      <c r="E29" s="3" t="s">
        <v>93</v>
      </c>
      <c r="F29" s="3"/>
      <c r="G29" s="3"/>
      <c r="H29" s="91"/>
      <c r="I29" s="91"/>
      <c r="J29" s="91">
        <v>6</v>
      </c>
      <c r="K29" s="91"/>
      <c r="L29" s="91"/>
    </row>
    <row r="30" spans="1:12" s="129" customFormat="1" ht="16.5">
      <c r="A30" s="76" t="s">
        <v>469</v>
      </c>
      <c r="B30" s="34" t="s">
        <v>467</v>
      </c>
      <c r="C30" s="3"/>
      <c r="D30" s="54" t="s">
        <v>500</v>
      </c>
      <c r="E30" s="3"/>
      <c r="F30" s="3" t="s">
        <v>553</v>
      </c>
      <c r="G30" s="3" t="s">
        <v>554</v>
      </c>
      <c r="H30" s="3" t="s">
        <v>564</v>
      </c>
      <c r="I30" s="75"/>
      <c r="J30" s="13">
        <v>1</v>
      </c>
      <c r="K30" s="3"/>
      <c r="L30" s="3"/>
    </row>
    <row r="31" spans="1:12" s="129" customFormat="1" ht="16.5">
      <c r="A31" s="76" t="s">
        <v>469</v>
      </c>
      <c r="B31" s="34" t="s">
        <v>467</v>
      </c>
      <c r="C31" s="3"/>
      <c r="D31" s="54" t="s">
        <v>501</v>
      </c>
      <c r="E31" s="3"/>
      <c r="F31" s="3" t="s">
        <v>553</v>
      </c>
      <c r="G31" s="3" t="s">
        <v>555</v>
      </c>
      <c r="H31" s="3" t="s">
        <v>565</v>
      </c>
      <c r="I31" s="75"/>
      <c r="J31" s="13">
        <v>1</v>
      </c>
      <c r="K31" s="3"/>
      <c r="L31" s="3"/>
    </row>
    <row r="32" spans="1:12" s="129" customFormat="1" ht="16.5">
      <c r="A32" s="76" t="s">
        <v>469</v>
      </c>
      <c r="B32" s="34" t="s">
        <v>467</v>
      </c>
      <c r="C32" s="3"/>
      <c r="D32" s="54" t="s">
        <v>501</v>
      </c>
      <c r="E32" s="3"/>
      <c r="F32" s="3" t="s">
        <v>553</v>
      </c>
      <c r="G32" s="3" t="s">
        <v>555</v>
      </c>
      <c r="H32" s="3" t="s">
        <v>565</v>
      </c>
      <c r="I32" s="75"/>
      <c r="J32" s="13">
        <v>1</v>
      </c>
      <c r="K32" s="3"/>
      <c r="L32" s="3"/>
    </row>
    <row r="33" spans="1:12" s="129" customFormat="1" ht="16.5">
      <c r="A33" s="76" t="s">
        <v>469</v>
      </c>
      <c r="B33" s="34" t="s">
        <v>467</v>
      </c>
      <c r="C33" s="3"/>
      <c r="D33" s="54" t="s">
        <v>501</v>
      </c>
      <c r="E33" s="3"/>
      <c r="F33" s="3" t="s">
        <v>553</v>
      </c>
      <c r="G33" s="3" t="s">
        <v>555</v>
      </c>
      <c r="H33" s="3" t="s">
        <v>565</v>
      </c>
      <c r="I33" s="75"/>
      <c r="J33" s="13">
        <v>1</v>
      </c>
      <c r="K33" s="3"/>
      <c r="L33" s="3"/>
    </row>
    <row r="34" spans="1:12" s="129" customFormat="1" ht="16.5">
      <c r="A34" s="76" t="s">
        <v>469</v>
      </c>
      <c r="B34" s="34" t="s">
        <v>467</v>
      </c>
      <c r="C34" s="3"/>
      <c r="D34" s="54" t="s">
        <v>501</v>
      </c>
      <c r="E34" s="3"/>
      <c r="F34" s="3" t="s">
        <v>553</v>
      </c>
      <c r="G34" s="3" t="s">
        <v>555</v>
      </c>
      <c r="H34" s="3" t="s">
        <v>565</v>
      </c>
      <c r="I34" s="75"/>
      <c r="J34" s="13">
        <v>1</v>
      </c>
      <c r="K34" s="3"/>
      <c r="L34" s="3"/>
    </row>
    <row r="35" spans="1:12" s="129" customFormat="1" ht="16.5">
      <c r="A35" s="76" t="s">
        <v>469</v>
      </c>
      <c r="B35" s="34" t="s">
        <v>467</v>
      </c>
      <c r="C35" s="3"/>
      <c r="D35" s="54" t="s">
        <v>502</v>
      </c>
      <c r="E35" s="3"/>
      <c r="F35" s="3" t="s">
        <v>553</v>
      </c>
      <c r="G35" s="3" t="s">
        <v>555</v>
      </c>
      <c r="H35" s="3" t="s">
        <v>565</v>
      </c>
      <c r="I35" s="75"/>
      <c r="J35" s="13">
        <v>1</v>
      </c>
      <c r="K35" s="3"/>
      <c r="L35" s="3"/>
    </row>
    <row r="36" spans="1:12" s="129" customFormat="1" ht="16.5">
      <c r="A36" s="76" t="s">
        <v>469</v>
      </c>
      <c r="B36" s="34" t="s">
        <v>467</v>
      </c>
      <c r="C36" s="3"/>
      <c r="D36" s="54" t="s">
        <v>503</v>
      </c>
      <c r="E36" s="3"/>
      <c r="F36" s="3" t="s">
        <v>553</v>
      </c>
      <c r="G36" s="3" t="s">
        <v>556</v>
      </c>
      <c r="H36" s="3" t="s">
        <v>566</v>
      </c>
      <c r="I36" s="75"/>
      <c r="J36" s="13">
        <v>1</v>
      </c>
      <c r="K36" s="3"/>
      <c r="L36" s="3"/>
    </row>
    <row r="37" spans="1:12" s="129" customFormat="1" ht="16.5">
      <c r="A37" s="76" t="s">
        <v>469</v>
      </c>
      <c r="B37" s="34" t="s">
        <v>467</v>
      </c>
      <c r="C37" s="3"/>
      <c r="D37" s="54" t="s">
        <v>504</v>
      </c>
      <c r="E37" s="3"/>
      <c r="F37" s="3" t="s">
        <v>553</v>
      </c>
      <c r="G37" s="3" t="s">
        <v>557</v>
      </c>
      <c r="H37" s="3" t="s">
        <v>567</v>
      </c>
      <c r="I37" s="75"/>
      <c r="J37" s="13">
        <v>1</v>
      </c>
      <c r="K37" s="3"/>
      <c r="L37" s="3"/>
    </row>
    <row r="38" spans="1:12" s="129" customFormat="1" ht="16.5">
      <c r="A38" s="76" t="s">
        <v>469</v>
      </c>
      <c r="B38" s="34" t="s">
        <v>467</v>
      </c>
      <c r="C38" s="3"/>
      <c r="D38" s="54" t="s">
        <v>505</v>
      </c>
      <c r="E38" s="3"/>
      <c r="F38" s="3" t="s">
        <v>553</v>
      </c>
      <c r="G38" s="3" t="s">
        <v>554</v>
      </c>
      <c r="H38" s="3" t="s">
        <v>568</v>
      </c>
      <c r="I38" s="75"/>
      <c r="J38" s="13">
        <v>1</v>
      </c>
      <c r="K38" s="3"/>
      <c r="L38" s="3"/>
    </row>
    <row r="39" spans="1:12" s="129" customFormat="1" ht="16.5">
      <c r="A39" s="76" t="s">
        <v>469</v>
      </c>
      <c r="B39" s="34" t="s">
        <v>467</v>
      </c>
      <c r="C39" s="3"/>
      <c r="D39" s="54" t="s">
        <v>506</v>
      </c>
      <c r="E39" s="3"/>
      <c r="F39" s="3" t="s">
        <v>553</v>
      </c>
      <c r="G39" s="3" t="s">
        <v>558</v>
      </c>
      <c r="H39" s="3" t="s">
        <v>56</v>
      </c>
      <c r="I39" s="75"/>
      <c r="J39" s="13">
        <v>1</v>
      </c>
      <c r="K39" s="3"/>
      <c r="L39" s="3"/>
    </row>
    <row r="40" spans="1:12" s="129" customFormat="1" ht="16.5">
      <c r="A40" s="76" t="s">
        <v>469</v>
      </c>
      <c r="B40" s="34" t="s">
        <v>468</v>
      </c>
      <c r="C40" s="3"/>
      <c r="D40" s="54" t="s">
        <v>163</v>
      </c>
      <c r="E40" s="3"/>
      <c r="F40" s="3"/>
      <c r="G40" s="3"/>
      <c r="H40" s="3" t="s">
        <v>569</v>
      </c>
      <c r="I40" s="75"/>
      <c r="J40" s="13">
        <v>1</v>
      </c>
      <c r="K40" s="3"/>
      <c r="L40" s="3"/>
    </row>
    <row r="41" spans="1:12" s="129" customFormat="1" ht="16.5">
      <c r="A41" s="76" t="s">
        <v>469</v>
      </c>
      <c r="B41" s="34" t="s">
        <v>468</v>
      </c>
      <c r="C41" s="3"/>
      <c r="D41" s="54" t="s">
        <v>544</v>
      </c>
      <c r="E41" s="3"/>
      <c r="F41" s="3"/>
      <c r="G41" s="3"/>
      <c r="H41" s="3" t="s">
        <v>570</v>
      </c>
      <c r="I41" s="75"/>
      <c r="J41" s="13">
        <v>1</v>
      </c>
      <c r="K41" s="3"/>
      <c r="L41" s="3"/>
    </row>
    <row r="42" spans="1:12" s="129" customFormat="1" ht="16.5">
      <c r="A42" s="76" t="s">
        <v>469</v>
      </c>
      <c r="B42" s="34" t="s">
        <v>468</v>
      </c>
      <c r="C42" s="2"/>
      <c r="D42" s="54" t="s">
        <v>545</v>
      </c>
      <c r="E42" s="2"/>
      <c r="F42" s="2"/>
      <c r="G42" s="2"/>
      <c r="H42" s="2" t="s">
        <v>570</v>
      </c>
      <c r="I42" s="163"/>
      <c r="J42" s="17">
        <v>1</v>
      </c>
      <c r="K42" s="2"/>
      <c r="L42" s="2"/>
    </row>
    <row r="43" spans="1:12" s="129" customFormat="1" ht="16.5">
      <c r="A43" s="76" t="s">
        <v>469</v>
      </c>
      <c r="B43" s="34" t="s">
        <v>468</v>
      </c>
      <c r="C43" s="2"/>
      <c r="D43" s="54" t="s">
        <v>546</v>
      </c>
      <c r="E43" s="2"/>
      <c r="F43" s="2"/>
      <c r="G43" s="2"/>
      <c r="H43" s="2" t="s">
        <v>571</v>
      </c>
      <c r="I43" s="163"/>
      <c r="J43" s="17">
        <v>1</v>
      </c>
      <c r="K43" s="2"/>
      <c r="L43" s="2"/>
    </row>
    <row r="44" spans="1:12" s="87" customFormat="1" ht="16.5">
      <c r="A44" s="17" t="s">
        <v>32</v>
      </c>
      <c r="B44" s="34" t="s">
        <v>19</v>
      </c>
      <c r="C44" s="35"/>
      <c r="D44" s="54" t="s">
        <v>34</v>
      </c>
      <c r="E44" s="36"/>
      <c r="F44" s="36"/>
      <c r="G44" s="36"/>
      <c r="H44" s="36"/>
      <c r="I44" s="34">
        <v>155</v>
      </c>
      <c r="J44" s="34">
        <v>38</v>
      </c>
      <c r="K44" s="17"/>
      <c r="L44" s="17"/>
    </row>
    <row r="45" spans="1:12" s="87" customFormat="1" ht="16.5">
      <c r="A45" s="17" t="s">
        <v>31</v>
      </c>
      <c r="B45" s="34" t="s">
        <v>36</v>
      </c>
      <c r="C45" s="35"/>
      <c r="D45" s="54" t="s">
        <v>33</v>
      </c>
      <c r="E45" s="36"/>
      <c r="F45" s="36"/>
      <c r="G45" s="36"/>
      <c r="H45" s="36"/>
      <c r="I45" s="34">
        <v>1170</v>
      </c>
      <c r="J45" s="34">
        <v>9</v>
      </c>
      <c r="K45" s="17"/>
      <c r="L45" s="17"/>
    </row>
    <row r="46" spans="1:12" s="129" customFormat="1" ht="16.5">
      <c r="A46" s="17" t="s">
        <v>31</v>
      </c>
      <c r="B46" s="34" t="s">
        <v>41</v>
      </c>
      <c r="C46" s="165"/>
      <c r="D46" s="54" t="s">
        <v>34</v>
      </c>
      <c r="E46" s="89"/>
      <c r="F46" s="89"/>
      <c r="G46" s="89"/>
      <c r="H46" s="89"/>
      <c r="I46" s="90">
        <v>950</v>
      </c>
      <c r="J46" s="90">
        <f>1+2+1+5+1+1+3</f>
        <v>14</v>
      </c>
      <c r="K46" s="2"/>
      <c r="L46" s="2"/>
    </row>
    <row r="47" spans="1:12" s="129" customFormat="1" ht="15" customHeight="1">
      <c r="A47" s="17" t="s">
        <v>31</v>
      </c>
      <c r="B47" s="34" t="s">
        <v>51</v>
      </c>
      <c r="C47" s="165"/>
      <c r="D47" s="54" t="s">
        <v>34</v>
      </c>
      <c r="E47" s="89"/>
      <c r="F47" s="89"/>
      <c r="G47" s="89"/>
      <c r="H47" s="89"/>
      <c r="I47" s="90">
        <v>645</v>
      </c>
      <c r="J47" s="90">
        <v>10</v>
      </c>
      <c r="K47" s="2"/>
      <c r="L47" s="2"/>
    </row>
    <row r="48" spans="1:12" ht="16.5">
      <c r="A48" s="3" t="s">
        <v>744</v>
      </c>
      <c r="B48" s="12" t="s">
        <v>606</v>
      </c>
      <c r="C48" s="75"/>
      <c r="D48" s="54" t="s">
        <v>655</v>
      </c>
      <c r="E48" s="5"/>
      <c r="F48" s="5"/>
      <c r="G48" s="5"/>
      <c r="H48" s="5"/>
      <c r="I48" s="12">
        <v>900</v>
      </c>
      <c r="J48" s="12">
        <v>61</v>
      </c>
      <c r="K48" s="3"/>
      <c r="L48" s="3" t="s">
        <v>785</v>
      </c>
    </row>
    <row r="49" spans="1:12" ht="16.5">
      <c r="A49" s="3" t="s">
        <v>744</v>
      </c>
      <c r="B49" s="12" t="s">
        <v>606</v>
      </c>
      <c r="C49" s="12"/>
      <c r="D49" s="54" t="s">
        <v>656</v>
      </c>
      <c r="E49" s="5"/>
      <c r="F49" s="5"/>
      <c r="G49" s="5"/>
      <c r="H49" s="5"/>
      <c r="I49" s="12">
        <v>245</v>
      </c>
      <c r="J49" s="12">
        <v>7</v>
      </c>
      <c r="K49" s="3"/>
      <c r="L49" s="3"/>
    </row>
    <row r="50" spans="1:12" ht="16.5">
      <c r="A50" s="3" t="s">
        <v>744</v>
      </c>
      <c r="B50" s="12" t="s">
        <v>606</v>
      </c>
      <c r="C50" s="12"/>
      <c r="D50" s="54" t="s">
        <v>657</v>
      </c>
      <c r="E50" s="5"/>
      <c r="F50" s="5"/>
      <c r="G50" s="5"/>
      <c r="H50" s="5"/>
      <c r="I50" s="12">
        <v>25</v>
      </c>
      <c r="J50" s="12">
        <v>1</v>
      </c>
      <c r="K50" s="3"/>
      <c r="L50" s="3"/>
    </row>
    <row r="51" spans="1:12" ht="16.5">
      <c r="A51" s="3" t="s">
        <v>744</v>
      </c>
      <c r="B51" s="12" t="s">
        <v>606</v>
      </c>
      <c r="C51" s="12"/>
      <c r="D51" s="54" t="s">
        <v>658</v>
      </c>
      <c r="E51" s="5"/>
      <c r="F51" s="5"/>
      <c r="G51" s="5"/>
      <c r="H51" s="5"/>
      <c r="I51" s="12">
        <v>15</v>
      </c>
      <c r="J51" s="12">
        <v>8</v>
      </c>
      <c r="K51" s="3"/>
      <c r="L51" s="3"/>
    </row>
    <row r="52" spans="1:12" ht="16.5">
      <c r="A52" s="3" t="s">
        <v>744</v>
      </c>
      <c r="B52" s="12" t="s">
        <v>606</v>
      </c>
      <c r="C52" s="12"/>
      <c r="D52" s="54" t="s">
        <v>658</v>
      </c>
      <c r="E52" s="5"/>
      <c r="F52" s="5"/>
      <c r="G52" s="5"/>
      <c r="H52" s="5"/>
      <c r="I52" s="12">
        <v>20</v>
      </c>
      <c r="J52" s="12">
        <v>11</v>
      </c>
      <c r="K52" s="3"/>
      <c r="L52" s="3"/>
    </row>
    <row r="53" spans="1:12" ht="16.5">
      <c r="A53" s="3" t="s">
        <v>744</v>
      </c>
      <c r="B53" s="12" t="s">
        <v>606</v>
      </c>
      <c r="C53" s="12"/>
      <c r="D53" s="54" t="s">
        <v>659</v>
      </c>
      <c r="E53" s="5"/>
      <c r="F53" s="5"/>
      <c r="G53" s="5"/>
      <c r="H53" s="5"/>
      <c r="I53" s="84">
        <v>430</v>
      </c>
      <c r="J53" s="12">
        <v>2</v>
      </c>
      <c r="K53" s="3"/>
      <c r="L53" s="3"/>
    </row>
    <row r="54" spans="1:12" ht="16.5">
      <c r="A54" s="3" t="s">
        <v>744</v>
      </c>
      <c r="B54" s="12" t="s">
        <v>606</v>
      </c>
      <c r="C54" s="12"/>
      <c r="D54" s="54" t="s">
        <v>660</v>
      </c>
      <c r="E54" s="5"/>
      <c r="F54" s="5"/>
      <c r="G54" s="5"/>
      <c r="H54" s="5"/>
      <c r="I54" s="84">
        <v>50</v>
      </c>
      <c r="J54" s="12">
        <v>3</v>
      </c>
      <c r="K54" s="3"/>
      <c r="L54" s="3"/>
    </row>
    <row r="55" spans="1:12" ht="16.5">
      <c r="A55" s="3" t="s">
        <v>744</v>
      </c>
      <c r="B55" s="12" t="s">
        <v>606</v>
      </c>
      <c r="C55" s="12"/>
      <c r="D55" s="54" t="s">
        <v>661</v>
      </c>
      <c r="E55" s="5"/>
      <c r="F55" s="5"/>
      <c r="G55" s="5"/>
      <c r="H55" s="5"/>
      <c r="I55" s="84">
        <v>350</v>
      </c>
      <c r="J55" s="12">
        <v>18</v>
      </c>
      <c r="K55" s="3"/>
      <c r="L55" s="3"/>
    </row>
    <row r="56" spans="1:12" ht="16.5">
      <c r="A56" s="3" t="s">
        <v>744</v>
      </c>
      <c r="B56" s="12" t="s">
        <v>608</v>
      </c>
      <c r="C56" s="12"/>
      <c r="D56" s="54" t="s">
        <v>657</v>
      </c>
      <c r="E56" s="5"/>
      <c r="F56" s="5"/>
      <c r="G56" s="5"/>
      <c r="H56" s="5"/>
      <c r="I56" s="12">
        <v>1280</v>
      </c>
      <c r="J56" s="12">
        <v>35</v>
      </c>
      <c r="K56" s="3"/>
      <c r="L56" s="3"/>
    </row>
    <row r="57" spans="1:12" ht="16.5">
      <c r="A57" s="3" t="s">
        <v>744</v>
      </c>
      <c r="B57" s="12" t="s">
        <v>608</v>
      </c>
      <c r="C57" s="12"/>
      <c r="D57" s="54" t="s">
        <v>659</v>
      </c>
      <c r="E57" s="5"/>
      <c r="F57" s="5"/>
      <c r="G57" s="5"/>
      <c r="H57" s="5"/>
      <c r="I57" s="12">
        <v>170</v>
      </c>
      <c r="J57" s="12">
        <v>2</v>
      </c>
      <c r="K57" s="3"/>
      <c r="L57" s="3"/>
    </row>
    <row r="58" spans="1:12" ht="16.5">
      <c r="A58" s="3" t="s">
        <v>744</v>
      </c>
      <c r="B58" s="12" t="s">
        <v>608</v>
      </c>
      <c r="C58" s="12"/>
      <c r="D58" s="54" t="s">
        <v>662</v>
      </c>
      <c r="E58" s="5"/>
      <c r="F58" s="5"/>
      <c r="G58" s="5"/>
      <c r="H58" s="5"/>
      <c r="I58" s="12">
        <v>65</v>
      </c>
      <c r="J58" s="12">
        <v>2</v>
      </c>
      <c r="K58" s="3"/>
      <c r="L58" s="3"/>
    </row>
    <row r="59" spans="1:12" ht="16.5">
      <c r="A59" s="3" t="s">
        <v>744</v>
      </c>
      <c r="B59" s="12" t="s">
        <v>608</v>
      </c>
      <c r="C59" s="12"/>
      <c r="D59" s="54" t="s">
        <v>661</v>
      </c>
      <c r="E59" s="5"/>
      <c r="F59" s="5"/>
      <c r="G59" s="5"/>
      <c r="H59" s="5"/>
      <c r="I59" s="12">
        <v>415</v>
      </c>
      <c r="J59" s="12">
        <v>29</v>
      </c>
      <c r="K59" s="3"/>
      <c r="L59" s="3"/>
    </row>
    <row r="60" spans="1:12" ht="16.5">
      <c r="A60" s="3" t="s">
        <v>744</v>
      </c>
      <c r="B60" s="12" t="s">
        <v>608</v>
      </c>
      <c r="C60" s="12"/>
      <c r="D60" s="54" t="s">
        <v>663</v>
      </c>
      <c r="E60" s="5"/>
      <c r="F60" s="5"/>
      <c r="G60" s="5"/>
      <c r="H60" s="5"/>
      <c r="I60" s="12">
        <v>930</v>
      </c>
      <c r="J60" s="12">
        <v>52</v>
      </c>
      <c r="K60" s="3"/>
      <c r="L60" s="3"/>
    </row>
    <row r="61" spans="1:12" ht="16.5">
      <c r="A61" s="3" t="s">
        <v>744</v>
      </c>
      <c r="B61" s="12" t="s">
        <v>609</v>
      </c>
      <c r="C61" s="12"/>
      <c r="D61" s="54" t="s">
        <v>664</v>
      </c>
      <c r="E61" s="5"/>
      <c r="F61" s="5"/>
      <c r="G61" s="5"/>
      <c r="H61" s="5"/>
      <c r="I61" s="12">
        <v>750</v>
      </c>
      <c r="J61" s="12">
        <v>2</v>
      </c>
      <c r="K61" s="3"/>
      <c r="L61" s="3"/>
    </row>
    <row r="62" spans="1:12" ht="16.5">
      <c r="A62" s="3" t="s">
        <v>744</v>
      </c>
      <c r="B62" s="12" t="s">
        <v>609</v>
      </c>
      <c r="C62" s="12"/>
      <c r="D62" s="54" t="s">
        <v>665</v>
      </c>
      <c r="E62" s="5"/>
      <c r="F62" s="5"/>
      <c r="G62" s="5"/>
      <c r="H62" s="5"/>
      <c r="I62" s="12">
        <v>50</v>
      </c>
      <c r="J62" s="12">
        <v>1</v>
      </c>
      <c r="K62" s="3"/>
      <c r="L62" s="3"/>
    </row>
    <row r="63" spans="1:12" ht="16.5">
      <c r="A63" s="3" t="s">
        <v>744</v>
      </c>
      <c r="B63" s="12" t="s">
        <v>609</v>
      </c>
      <c r="C63" s="12"/>
      <c r="D63" s="54" t="s">
        <v>666</v>
      </c>
      <c r="E63" s="5"/>
      <c r="F63" s="5"/>
      <c r="G63" s="5"/>
      <c r="H63" s="5"/>
      <c r="I63" s="12">
        <v>150</v>
      </c>
      <c r="J63" s="12">
        <v>3</v>
      </c>
      <c r="K63" s="3"/>
      <c r="L63" s="3"/>
    </row>
    <row r="64" spans="1:12" ht="16.5">
      <c r="A64" s="3" t="s">
        <v>744</v>
      </c>
      <c r="B64" s="12" t="s">
        <v>609</v>
      </c>
      <c r="C64" s="12"/>
      <c r="D64" s="54" t="s">
        <v>667</v>
      </c>
      <c r="E64" s="5"/>
      <c r="F64" s="5"/>
      <c r="G64" s="5"/>
      <c r="H64" s="5"/>
      <c r="I64" s="12">
        <v>1295</v>
      </c>
      <c r="J64" s="12">
        <v>1</v>
      </c>
      <c r="K64" s="3"/>
      <c r="L64" s="3"/>
    </row>
    <row r="65" spans="1:12" ht="16.5">
      <c r="A65" s="3" t="s">
        <v>745</v>
      </c>
      <c r="B65" s="12" t="s">
        <v>649</v>
      </c>
      <c r="C65" s="12"/>
      <c r="D65" s="54" t="s">
        <v>668</v>
      </c>
      <c r="E65" s="5"/>
      <c r="F65" s="5"/>
      <c r="G65" s="5"/>
      <c r="H65" s="5"/>
      <c r="I65" s="12"/>
      <c r="J65" s="12">
        <v>1</v>
      </c>
      <c r="K65" s="3"/>
      <c r="L65" s="3"/>
    </row>
    <row r="66" spans="1:12" ht="16.5">
      <c r="A66" s="3" t="s">
        <v>745</v>
      </c>
      <c r="B66" s="12" t="s">
        <v>649</v>
      </c>
      <c r="C66" s="12"/>
      <c r="D66" s="54" t="s">
        <v>669</v>
      </c>
      <c r="E66" s="5"/>
      <c r="F66" s="5"/>
      <c r="G66" s="5"/>
      <c r="H66" s="5"/>
      <c r="I66" s="12"/>
      <c r="J66" s="12">
        <v>1</v>
      </c>
      <c r="K66" s="3"/>
      <c r="L66" s="3"/>
    </row>
    <row r="67" spans="1:12" ht="16.5">
      <c r="A67" s="3" t="s">
        <v>745</v>
      </c>
      <c r="B67" s="12" t="s">
        <v>649</v>
      </c>
      <c r="C67" s="12"/>
      <c r="D67" s="54" t="s">
        <v>670</v>
      </c>
      <c r="E67" s="5"/>
      <c r="F67" s="5"/>
      <c r="G67" s="5"/>
      <c r="H67" s="5"/>
      <c r="I67" s="90"/>
      <c r="J67" s="12">
        <v>2</v>
      </c>
      <c r="K67" s="3"/>
      <c r="L67" s="3"/>
    </row>
    <row r="68" spans="1:12" ht="16.5">
      <c r="A68" s="3" t="s">
        <v>745</v>
      </c>
      <c r="B68" s="12" t="s">
        <v>622</v>
      </c>
      <c r="C68" s="12"/>
      <c r="D68" s="54" t="s">
        <v>660</v>
      </c>
      <c r="E68" s="5"/>
      <c r="F68" s="5"/>
      <c r="G68" s="5"/>
      <c r="H68" s="5"/>
      <c r="I68" s="12">
        <v>555</v>
      </c>
      <c r="J68" s="12">
        <v>1</v>
      </c>
      <c r="K68" s="3"/>
      <c r="L68" s="3"/>
    </row>
    <row r="69" spans="1:12" ht="16.5">
      <c r="A69" s="3" t="s">
        <v>745</v>
      </c>
      <c r="B69" s="12" t="s">
        <v>622</v>
      </c>
      <c r="C69" s="12"/>
      <c r="D69" s="54" t="s">
        <v>671</v>
      </c>
      <c r="E69" s="5"/>
      <c r="F69" s="5"/>
      <c r="G69" s="5"/>
      <c r="H69" s="5"/>
      <c r="I69" s="12">
        <v>10.5</v>
      </c>
      <c r="J69" s="12">
        <v>1</v>
      </c>
      <c r="K69" s="3"/>
      <c r="L69" s="3"/>
    </row>
    <row r="70" spans="1:12" ht="16.5">
      <c r="A70" s="3" t="s">
        <v>745</v>
      </c>
      <c r="B70" s="12" t="s">
        <v>614</v>
      </c>
      <c r="C70" s="12"/>
      <c r="D70" s="54" t="s">
        <v>672</v>
      </c>
      <c r="E70" s="5"/>
      <c r="F70" s="5"/>
      <c r="G70" s="5"/>
      <c r="H70" s="5"/>
      <c r="I70" s="12">
        <v>270</v>
      </c>
      <c r="J70" s="12">
        <v>1</v>
      </c>
      <c r="K70" s="3"/>
      <c r="L70" s="3"/>
    </row>
    <row r="71" spans="1:12" ht="16.5">
      <c r="A71" s="3" t="s">
        <v>745</v>
      </c>
      <c r="B71" s="12" t="s">
        <v>614</v>
      </c>
      <c r="C71" s="12"/>
      <c r="D71" s="54" t="s">
        <v>673</v>
      </c>
      <c r="E71" s="5"/>
      <c r="F71" s="5"/>
      <c r="G71" s="5"/>
      <c r="H71" s="5"/>
      <c r="I71" s="12">
        <v>2</v>
      </c>
      <c r="J71" s="12">
        <v>1</v>
      </c>
      <c r="K71" s="3"/>
      <c r="L71" s="3"/>
    </row>
    <row r="72" spans="1:12" ht="16.5">
      <c r="A72" s="3" t="s">
        <v>745</v>
      </c>
      <c r="B72" s="12" t="s">
        <v>614</v>
      </c>
      <c r="C72" s="12"/>
      <c r="D72" s="54" t="s">
        <v>670</v>
      </c>
      <c r="E72" s="5"/>
      <c r="F72" s="5"/>
      <c r="G72" s="5"/>
      <c r="H72" s="5"/>
      <c r="I72" s="12">
        <v>35</v>
      </c>
      <c r="J72" s="12">
        <v>4</v>
      </c>
      <c r="K72" s="3"/>
      <c r="L72" s="3"/>
    </row>
    <row r="73" spans="1:12" ht="16.5">
      <c r="A73" s="3" t="s">
        <v>745</v>
      </c>
      <c r="B73" s="12" t="s">
        <v>637</v>
      </c>
      <c r="C73" s="12"/>
      <c r="D73" s="54" t="s">
        <v>663</v>
      </c>
      <c r="E73" s="5"/>
      <c r="F73" s="5"/>
      <c r="G73" s="5"/>
      <c r="H73" s="5"/>
      <c r="I73" s="12">
        <v>35</v>
      </c>
      <c r="J73" s="12">
        <v>2</v>
      </c>
      <c r="K73" s="3"/>
      <c r="L73" s="3"/>
    </row>
    <row r="74" spans="1:12" ht="16.5">
      <c r="A74" s="3" t="s">
        <v>745</v>
      </c>
      <c r="B74" s="12" t="s">
        <v>637</v>
      </c>
      <c r="C74" s="12"/>
      <c r="D74" s="54" t="s">
        <v>670</v>
      </c>
      <c r="E74" s="5"/>
      <c r="F74" s="5"/>
      <c r="G74" s="5"/>
      <c r="H74" s="5"/>
      <c r="I74" s="12" t="s">
        <v>627</v>
      </c>
      <c r="J74" s="12">
        <v>3</v>
      </c>
      <c r="K74" s="3"/>
      <c r="L74" s="3"/>
    </row>
    <row r="75" spans="1:12" ht="16.5">
      <c r="A75" s="3" t="s">
        <v>745</v>
      </c>
      <c r="B75" s="12" t="s">
        <v>623</v>
      </c>
      <c r="C75" s="12"/>
      <c r="D75" s="54" t="s">
        <v>674</v>
      </c>
      <c r="E75" s="5"/>
      <c r="F75" s="5"/>
      <c r="G75" s="5"/>
      <c r="H75" s="5"/>
      <c r="I75" s="12" t="s">
        <v>642</v>
      </c>
      <c r="J75" s="12">
        <v>1</v>
      </c>
      <c r="K75" s="3"/>
      <c r="L75" s="3"/>
    </row>
    <row r="76" spans="1:12" ht="16.5">
      <c r="A76" s="3" t="s">
        <v>745</v>
      </c>
      <c r="B76" s="12" t="s">
        <v>623</v>
      </c>
      <c r="C76" s="12"/>
      <c r="D76" s="54" t="s">
        <v>675</v>
      </c>
      <c r="E76" s="5"/>
      <c r="F76" s="5"/>
      <c r="G76" s="5"/>
      <c r="H76" s="5"/>
      <c r="I76" s="12" t="s">
        <v>647</v>
      </c>
      <c r="J76" s="12">
        <v>1</v>
      </c>
      <c r="K76" s="3"/>
      <c r="L76" s="3"/>
    </row>
    <row r="77" spans="1:12" ht="16.5">
      <c r="A77" s="3" t="s">
        <v>745</v>
      </c>
      <c r="B77" s="12" t="s">
        <v>623</v>
      </c>
      <c r="C77" s="12"/>
      <c r="D77" s="54" t="s">
        <v>660</v>
      </c>
      <c r="E77" s="5"/>
      <c r="F77" s="5"/>
      <c r="G77" s="5"/>
      <c r="H77" s="5"/>
      <c r="I77" s="12">
        <v>1295</v>
      </c>
      <c r="J77" s="12">
        <v>1</v>
      </c>
      <c r="K77" s="3"/>
      <c r="L77" s="3"/>
    </row>
    <row r="78" spans="1:12" ht="16.5">
      <c r="A78" s="3" t="s">
        <v>745</v>
      </c>
      <c r="B78" s="12" t="s">
        <v>625</v>
      </c>
      <c r="C78" s="12"/>
      <c r="D78" s="54" t="s">
        <v>661</v>
      </c>
      <c r="E78" s="5"/>
      <c r="F78" s="5"/>
      <c r="G78" s="5"/>
      <c r="H78" s="5"/>
      <c r="I78" s="12">
        <v>45</v>
      </c>
      <c r="J78" s="12">
        <v>1</v>
      </c>
      <c r="K78" s="3"/>
      <c r="L78" s="3"/>
    </row>
    <row r="79" spans="1:12" ht="16.5">
      <c r="A79" s="3" t="s">
        <v>745</v>
      </c>
      <c r="B79" s="12" t="s">
        <v>625</v>
      </c>
      <c r="C79" s="12"/>
      <c r="D79" s="54" t="s">
        <v>670</v>
      </c>
      <c r="E79" s="89"/>
      <c r="F79" s="89"/>
      <c r="G79" s="89"/>
      <c r="H79" s="89"/>
      <c r="I79" s="90">
        <v>25</v>
      </c>
      <c r="J79" s="12">
        <v>1</v>
      </c>
      <c r="K79" s="3"/>
      <c r="L79" s="3"/>
    </row>
    <row r="80" spans="1:12" ht="15" customHeight="1">
      <c r="A80" s="3" t="s">
        <v>745</v>
      </c>
      <c r="B80" s="12" t="s">
        <v>581</v>
      </c>
      <c r="C80" s="12"/>
      <c r="D80" s="54" t="s">
        <v>660</v>
      </c>
      <c r="E80" s="89"/>
      <c r="F80" s="89"/>
      <c r="G80" s="89"/>
      <c r="H80" s="89"/>
      <c r="I80" s="90">
        <v>2265</v>
      </c>
      <c r="J80" s="12">
        <v>3</v>
      </c>
      <c r="K80" s="3"/>
      <c r="L80" s="3"/>
    </row>
    <row r="81" spans="1:12" ht="15" customHeight="1">
      <c r="A81" s="3" t="s">
        <v>745</v>
      </c>
      <c r="B81" s="12" t="s">
        <v>581</v>
      </c>
      <c r="C81" s="12"/>
      <c r="D81" s="54" t="s">
        <v>676</v>
      </c>
      <c r="E81" s="89"/>
      <c r="F81" s="89"/>
      <c r="G81" s="89"/>
      <c r="H81" s="89"/>
      <c r="I81" s="90">
        <v>1895</v>
      </c>
      <c r="J81" s="12">
        <v>5</v>
      </c>
      <c r="K81" s="3"/>
      <c r="L81" s="3"/>
    </row>
    <row r="82" spans="1:12" ht="15" customHeight="1">
      <c r="A82" s="3" t="s">
        <v>745</v>
      </c>
      <c r="B82" s="12" t="s">
        <v>581</v>
      </c>
      <c r="C82" s="12"/>
      <c r="D82" s="54" t="s">
        <v>660</v>
      </c>
      <c r="E82" s="89"/>
      <c r="F82" s="89"/>
      <c r="G82" s="89"/>
      <c r="H82" s="89"/>
      <c r="I82" s="90">
        <v>30</v>
      </c>
      <c r="J82" s="12">
        <v>1</v>
      </c>
      <c r="K82" s="3"/>
      <c r="L82" s="3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zoomScaleNormal="100" workbookViewId="0">
      <selection activeCell="O97" sqref="O97"/>
    </sheetView>
  </sheetViews>
  <sheetFormatPr defaultRowHeight="15.75"/>
  <cols>
    <col min="1" max="1" width="12.42578125" bestFit="1" customWidth="1"/>
    <col min="2" max="2" width="12.140625" customWidth="1"/>
    <col min="3" max="3" width="18.5703125" customWidth="1"/>
    <col min="4" max="4" width="30.140625" style="214" customWidth="1"/>
    <col min="5" max="5" width="18.85546875" hidden="1" customWidth="1"/>
    <col min="6" max="6" width="18.42578125" hidden="1" customWidth="1"/>
    <col min="7" max="7" width="10" hidden="1" customWidth="1"/>
    <col min="8" max="8" width="10.85546875" hidden="1" customWidth="1"/>
    <col min="9" max="9" width="12.28515625" style="32" bestFit="1" customWidth="1"/>
    <col min="10" max="10" width="14.7109375" bestFit="1" customWidth="1"/>
    <col min="11" max="11" width="22.140625" hidden="1" customWidth="1"/>
    <col min="12" max="12" width="20.85546875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204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ht="15" customHeight="1">
      <c r="A2" s="76" t="s">
        <v>418</v>
      </c>
      <c r="B2" s="34" t="s">
        <v>68</v>
      </c>
      <c r="C2" s="54" t="s">
        <v>78</v>
      </c>
      <c r="D2" s="205" t="s">
        <v>81</v>
      </c>
      <c r="E2" s="92" t="s">
        <v>79</v>
      </c>
      <c r="F2" s="92" t="s">
        <v>80</v>
      </c>
      <c r="G2" s="92"/>
      <c r="H2" s="92"/>
      <c r="I2" s="138">
        <v>30</v>
      </c>
      <c r="J2" s="92">
        <v>8</v>
      </c>
      <c r="K2" s="92"/>
      <c r="L2" s="92"/>
    </row>
    <row r="3" spans="1:12" ht="15" customHeight="1">
      <c r="A3" s="76" t="s">
        <v>418</v>
      </c>
      <c r="B3" s="34" t="s">
        <v>68</v>
      </c>
      <c r="C3" s="56" t="s">
        <v>82</v>
      </c>
      <c r="D3" s="206"/>
      <c r="E3" s="91" t="s">
        <v>79</v>
      </c>
      <c r="F3" s="91" t="s">
        <v>83</v>
      </c>
      <c r="G3" s="91" t="s">
        <v>84</v>
      </c>
      <c r="H3" s="91"/>
      <c r="I3" s="137">
        <v>40</v>
      </c>
      <c r="J3" s="91">
        <v>11</v>
      </c>
      <c r="K3" s="91"/>
      <c r="L3" s="91"/>
    </row>
    <row r="4" spans="1:12" ht="15" customHeight="1">
      <c r="A4" s="76" t="s">
        <v>418</v>
      </c>
      <c r="B4" s="34" t="s">
        <v>68</v>
      </c>
      <c r="C4" s="54" t="s">
        <v>85</v>
      </c>
      <c r="D4" s="205"/>
      <c r="E4" s="91" t="s">
        <v>79</v>
      </c>
      <c r="F4" s="91" t="s">
        <v>83</v>
      </c>
      <c r="G4" s="91" t="s">
        <v>84</v>
      </c>
      <c r="H4" s="92"/>
      <c r="I4" s="138">
        <v>22</v>
      </c>
      <c r="J4" s="92">
        <v>2</v>
      </c>
      <c r="K4" s="92"/>
      <c r="L4" s="92"/>
    </row>
    <row r="5" spans="1:12" ht="15" customHeight="1">
      <c r="A5" s="76" t="s">
        <v>418</v>
      </c>
      <c r="B5" s="34" t="s">
        <v>68</v>
      </c>
      <c r="C5" s="56" t="s">
        <v>86</v>
      </c>
      <c r="D5" s="206"/>
      <c r="E5" s="91" t="s">
        <v>79</v>
      </c>
      <c r="F5" s="91" t="s">
        <v>83</v>
      </c>
      <c r="G5" s="91" t="s">
        <v>84</v>
      </c>
      <c r="H5" s="91"/>
      <c r="I5" s="137">
        <v>16</v>
      </c>
      <c r="J5" s="91">
        <v>1</v>
      </c>
      <c r="K5" s="91"/>
      <c r="L5" s="91"/>
    </row>
    <row r="6" spans="1:12" ht="15" customHeight="1">
      <c r="A6" s="76" t="s">
        <v>418</v>
      </c>
      <c r="B6" s="34" t="s">
        <v>68</v>
      </c>
      <c r="C6" s="54" t="s">
        <v>87</v>
      </c>
      <c r="D6" s="205"/>
      <c r="E6" s="91" t="s">
        <v>79</v>
      </c>
      <c r="F6" s="91" t="s">
        <v>83</v>
      </c>
      <c r="G6" s="91" t="s">
        <v>84</v>
      </c>
      <c r="H6" s="92"/>
      <c r="I6" s="138">
        <v>54</v>
      </c>
      <c r="J6" s="92">
        <v>7</v>
      </c>
      <c r="K6" s="92"/>
      <c r="L6" s="92"/>
    </row>
    <row r="7" spans="1:12" ht="15" customHeight="1">
      <c r="A7" s="76" t="s">
        <v>418</v>
      </c>
      <c r="B7" s="34" t="s">
        <v>68</v>
      </c>
      <c r="C7" s="56" t="s">
        <v>88</v>
      </c>
      <c r="D7" s="206"/>
      <c r="E7" s="91" t="s">
        <v>79</v>
      </c>
      <c r="F7" s="91" t="s">
        <v>83</v>
      </c>
      <c r="G7" s="91" t="s">
        <v>84</v>
      </c>
      <c r="H7" s="91"/>
      <c r="I7" s="137">
        <v>16</v>
      </c>
      <c r="J7" s="91">
        <v>1</v>
      </c>
      <c r="K7" s="91"/>
      <c r="L7" s="91"/>
    </row>
    <row r="8" spans="1:12" ht="15" customHeight="1">
      <c r="A8" s="76" t="s">
        <v>418</v>
      </c>
      <c r="B8" s="34" t="s">
        <v>68</v>
      </c>
      <c r="C8" s="54" t="s">
        <v>89</v>
      </c>
      <c r="D8" s="205"/>
      <c r="E8" s="91" t="s">
        <v>79</v>
      </c>
      <c r="F8" s="91" t="s">
        <v>83</v>
      </c>
      <c r="G8" s="91" t="s">
        <v>84</v>
      </c>
      <c r="H8" s="92"/>
      <c r="I8" s="138">
        <v>12</v>
      </c>
      <c r="J8" s="92">
        <v>3</v>
      </c>
      <c r="K8" s="92"/>
      <c r="L8" s="92"/>
    </row>
    <row r="9" spans="1:12" ht="15" customHeight="1">
      <c r="A9" s="76" t="s">
        <v>418</v>
      </c>
      <c r="B9" s="34" t="s">
        <v>68</v>
      </c>
      <c r="C9" s="56" t="s">
        <v>90</v>
      </c>
      <c r="D9" s="206"/>
      <c r="E9" s="91" t="s">
        <v>79</v>
      </c>
      <c r="F9" s="91" t="s">
        <v>83</v>
      </c>
      <c r="G9" s="91" t="s">
        <v>84</v>
      </c>
      <c r="H9" s="91"/>
      <c r="I9" s="137">
        <v>38</v>
      </c>
      <c r="J9" s="91">
        <v>4</v>
      </c>
      <c r="K9" s="91"/>
      <c r="L9" s="91"/>
    </row>
    <row r="10" spans="1:12" ht="15" customHeight="1">
      <c r="A10" s="76" t="s">
        <v>418</v>
      </c>
      <c r="B10" s="34" t="s">
        <v>68</v>
      </c>
      <c r="C10" s="92" t="s">
        <v>91</v>
      </c>
      <c r="D10" s="205"/>
      <c r="E10" s="91" t="s">
        <v>79</v>
      </c>
      <c r="F10" s="91" t="s">
        <v>83</v>
      </c>
      <c r="G10" s="91" t="s">
        <v>84</v>
      </c>
      <c r="H10" s="92"/>
      <c r="I10" s="138">
        <v>7</v>
      </c>
      <c r="J10" s="92">
        <v>1</v>
      </c>
      <c r="K10" s="92"/>
      <c r="L10" s="92"/>
    </row>
    <row r="11" spans="1:12" ht="15" customHeight="1">
      <c r="A11" s="76" t="s">
        <v>418</v>
      </c>
      <c r="B11" s="34" t="s">
        <v>68</v>
      </c>
      <c r="C11" s="54" t="s">
        <v>101</v>
      </c>
      <c r="D11" s="207"/>
      <c r="E11" s="91" t="s">
        <v>79</v>
      </c>
      <c r="F11" s="91" t="s">
        <v>83</v>
      </c>
      <c r="G11" s="91" t="s">
        <v>84</v>
      </c>
      <c r="H11" s="92"/>
      <c r="I11" s="138"/>
      <c r="J11" s="92">
        <v>1</v>
      </c>
      <c r="K11" s="92"/>
      <c r="L11" s="92"/>
    </row>
    <row r="12" spans="1:12" ht="16.5">
      <c r="A12" s="76" t="s">
        <v>418</v>
      </c>
      <c r="B12" s="34" t="s">
        <v>111</v>
      </c>
      <c r="C12" s="54" t="s">
        <v>78</v>
      </c>
      <c r="D12" s="207"/>
      <c r="E12" s="92" t="s">
        <v>79</v>
      </c>
      <c r="F12" s="92" t="s">
        <v>80</v>
      </c>
      <c r="G12" s="3"/>
      <c r="H12" s="92"/>
      <c r="I12" s="138">
        <v>266</v>
      </c>
      <c r="J12" s="92"/>
      <c r="K12" s="54"/>
      <c r="L12" s="54" t="s">
        <v>112</v>
      </c>
    </row>
    <row r="13" spans="1:12" ht="16.5">
      <c r="A13" s="76" t="s">
        <v>418</v>
      </c>
      <c r="B13" s="34" t="s">
        <v>111</v>
      </c>
      <c r="C13" s="56" t="s">
        <v>113</v>
      </c>
      <c r="D13" s="207"/>
      <c r="E13" s="91" t="s">
        <v>79</v>
      </c>
      <c r="F13" s="91" t="s">
        <v>83</v>
      </c>
      <c r="G13" s="91" t="s">
        <v>84</v>
      </c>
      <c r="H13" s="91"/>
      <c r="I13" s="137">
        <v>50</v>
      </c>
      <c r="J13" s="91">
        <v>1</v>
      </c>
      <c r="K13" s="54"/>
      <c r="L13" s="54" t="s">
        <v>114</v>
      </c>
    </row>
    <row r="14" spans="1:12" ht="16.5">
      <c r="A14" s="76" t="s">
        <v>418</v>
      </c>
      <c r="B14" s="34" t="s">
        <v>111</v>
      </c>
      <c r="C14" s="54" t="s">
        <v>91</v>
      </c>
      <c r="D14" s="207"/>
      <c r="E14" s="91" t="s">
        <v>79</v>
      </c>
      <c r="F14" s="91" t="s">
        <v>83</v>
      </c>
      <c r="G14" s="91" t="s">
        <v>84</v>
      </c>
      <c r="H14" s="92"/>
      <c r="I14" s="138">
        <v>9</v>
      </c>
      <c r="J14" s="92">
        <v>1</v>
      </c>
      <c r="K14" s="54"/>
      <c r="L14" s="54" t="s">
        <v>115</v>
      </c>
    </row>
    <row r="15" spans="1:12" ht="16.5">
      <c r="A15" s="76" t="s">
        <v>418</v>
      </c>
      <c r="B15" s="34" t="s">
        <v>111</v>
      </c>
      <c r="C15" s="56" t="s">
        <v>116</v>
      </c>
      <c r="D15" s="207"/>
      <c r="E15" s="3" t="s">
        <v>79</v>
      </c>
      <c r="F15" s="3" t="s">
        <v>117</v>
      </c>
      <c r="G15" s="3" t="s">
        <v>118</v>
      </c>
      <c r="H15" s="91"/>
      <c r="I15" s="137">
        <v>50</v>
      </c>
      <c r="J15" s="91">
        <v>1</v>
      </c>
      <c r="K15" s="54"/>
      <c r="L15" s="54" t="s">
        <v>119</v>
      </c>
    </row>
    <row r="16" spans="1:12" ht="16.5">
      <c r="A16" s="76" t="s">
        <v>418</v>
      </c>
      <c r="B16" s="34" t="s">
        <v>111</v>
      </c>
      <c r="C16" s="54" t="s">
        <v>123</v>
      </c>
      <c r="D16" s="207"/>
      <c r="E16" s="91" t="s">
        <v>79</v>
      </c>
      <c r="F16" s="91" t="s">
        <v>83</v>
      </c>
      <c r="G16" s="91" t="s">
        <v>84</v>
      </c>
      <c r="H16" s="92"/>
      <c r="I16" s="138">
        <v>110</v>
      </c>
      <c r="J16" s="92">
        <v>3</v>
      </c>
      <c r="K16" s="54"/>
      <c r="L16" s="54" t="s">
        <v>124</v>
      </c>
    </row>
    <row r="17" spans="1:12" ht="16.5">
      <c r="A17" s="76" t="s">
        <v>418</v>
      </c>
      <c r="B17" s="34" t="s">
        <v>111</v>
      </c>
      <c r="C17" s="56" t="s">
        <v>125</v>
      </c>
      <c r="D17" s="207"/>
      <c r="E17" s="91" t="s">
        <v>79</v>
      </c>
      <c r="F17" s="91" t="s">
        <v>83</v>
      </c>
      <c r="G17" s="91" t="s">
        <v>84</v>
      </c>
      <c r="H17" s="91"/>
      <c r="I17" s="137">
        <v>20</v>
      </c>
      <c r="J17" s="91">
        <v>5</v>
      </c>
      <c r="K17" s="54"/>
      <c r="L17" s="54" t="s">
        <v>126</v>
      </c>
    </row>
    <row r="18" spans="1:12" ht="16.5">
      <c r="A18" s="76" t="s">
        <v>418</v>
      </c>
      <c r="B18" s="34" t="s">
        <v>111</v>
      </c>
      <c r="C18" s="54" t="s">
        <v>91</v>
      </c>
      <c r="D18" s="207"/>
      <c r="E18" s="91" t="s">
        <v>79</v>
      </c>
      <c r="F18" s="91" t="s">
        <v>83</v>
      </c>
      <c r="G18" s="91" t="s">
        <v>84</v>
      </c>
      <c r="H18" s="54"/>
      <c r="I18" s="203">
        <v>50</v>
      </c>
      <c r="J18" s="92">
        <v>2</v>
      </c>
      <c r="K18" s="54"/>
      <c r="L18" s="54" t="s">
        <v>127</v>
      </c>
    </row>
    <row r="19" spans="1:12" ht="16.5">
      <c r="A19" s="76" t="s">
        <v>418</v>
      </c>
      <c r="B19" s="34" t="s">
        <v>111</v>
      </c>
      <c r="C19" s="56" t="s">
        <v>128</v>
      </c>
      <c r="D19" s="207"/>
      <c r="E19" s="3" t="s">
        <v>79</v>
      </c>
      <c r="F19" s="3" t="s">
        <v>117</v>
      </c>
      <c r="G19" s="3" t="s">
        <v>118</v>
      </c>
      <c r="H19" s="91"/>
      <c r="I19" s="137"/>
      <c r="J19" s="91">
        <v>1</v>
      </c>
      <c r="K19" s="54"/>
      <c r="L19" s="54" t="s">
        <v>126</v>
      </c>
    </row>
    <row r="20" spans="1:12" ht="16.5">
      <c r="A20" s="76" t="s">
        <v>418</v>
      </c>
      <c r="B20" s="34" t="s">
        <v>111</v>
      </c>
      <c r="C20" s="54" t="s">
        <v>87</v>
      </c>
      <c r="D20" s="207"/>
      <c r="E20" s="91" t="s">
        <v>79</v>
      </c>
      <c r="F20" s="91" t="s">
        <v>83</v>
      </c>
      <c r="G20" s="91" t="s">
        <v>84</v>
      </c>
      <c r="H20" s="92"/>
      <c r="I20" s="138">
        <v>150</v>
      </c>
      <c r="J20" s="92">
        <v>13</v>
      </c>
      <c r="K20" s="54"/>
      <c r="L20" s="54" t="s">
        <v>129</v>
      </c>
    </row>
    <row r="21" spans="1:12" ht="16.5">
      <c r="A21" s="76" t="s">
        <v>418</v>
      </c>
      <c r="B21" s="34" t="s">
        <v>111</v>
      </c>
      <c r="C21" s="56" t="s">
        <v>130</v>
      </c>
      <c r="D21" s="207"/>
      <c r="E21" s="3" t="s">
        <v>79</v>
      </c>
      <c r="F21" s="3" t="s">
        <v>117</v>
      </c>
      <c r="G21" s="3" t="s">
        <v>118</v>
      </c>
      <c r="H21" s="188"/>
      <c r="I21" s="190">
        <v>3</v>
      </c>
      <c r="J21" s="91">
        <v>1</v>
      </c>
      <c r="K21" s="54"/>
      <c r="L21" s="54" t="s">
        <v>131</v>
      </c>
    </row>
    <row r="22" spans="1:12" ht="16.5">
      <c r="A22" s="76" t="s">
        <v>418</v>
      </c>
      <c r="B22" s="34" t="s">
        <v>111</v>
      </c>
      <c r="C22" s="54" t="s">
        <v>132</v>
      </c>
      <c r="D22" s="207"/>
      <c r="E22" s="3" t="s">
        <v>79</v>
      </c>
      <c r="F22" s="3" t="s">
        <v>117</v>
      </c>
      <c r="G22" s="3" t="s">
        <v>133</v>
      </c>
      <c r="H22" s="189"/>
      <c r="I22" s="190"/>
      <c r="J22" s="92">
        <v>1</v>
      </c>
      <c r="K22" s="54"/>
      <c r="L22" s="54" t="s">
        <v>134</v>
      </c>
    </row>
    <row r="23" spans="1:12" ht="16.5">
      <c r="A23" s="76" t="s">
        <v>418</v>
      </c>
      <c r="B23" s="34" t="s">
        <v>111</v>
      </c>
      <c r="C23" s="56" t="s">
        <v>82</v>
      </c>
      <c r="D23" s="207"/>
      <c r="E23" s="3" t="s">
        <v>79</v>
      </c>
      <c r="F23" s="3" t="s">
        <v>117</v>
      </c>
      <c r="G23" s="3" t="s">
        <v>118</v>
      </c>
      <c r="H23" s="91"/>
      <c r="I23" s="137">
        <v>40</v>
      </c>
      <c r="J23" s="91">
        <v>19</v>
      </c>
      <c r="K23" s="54"/>
      <c r="L23" s="54" t="s">
        <v>135</v>
      </c>
    </row>
    <row r="24" spans="1:12" ht="16.5">
      <c r="A24" s="76" t="s">
        <v>418</v>
      </c>
      <c r="B24" s="34" t="s">
        <v>111</v>
      </c>
      <c r="C24" s="56" t="s">
        <v>78</v>
      </c>
      <c r="D24" s="207"/>
      <c r="E24" s="92" t="s">
        <v>79</v>
      </c>
      <c r="F24" s="92" t="s">
        <v>80</v>
      </c>
      <c r="G24" s="3"/>
      <c r="H24" s="91"/>
      <c r="I24" s="137">
        <v>1830</v>
      </c>
      <c r="J24" s="91">
        <v>58</v>
      </c>
      <c r="K24" s="54"/>
      <c r="L24" s="54"/>
    </row>
    <row r="25" spans="1:12" ht="16.5">
      <c r="A25" s="76" t="s">
        <v>418</v>
      </c>
      <c r="B25" s="34" t="s">
        <v>162</v>
      </c>
      <c r="C25" s="54" t="s">
        <v>130</v>
      </c>
      <c r="D25" s="207"/>
      <c r="E25" s="3" t="s">
        <v>79</v>
      </c>
      <c r="F25" s="3" t="s">
        <v>117</v>
      </c>
      <c r="G25" s="3" t="s">
        <v>118</v>
      </c>
      <c r="H25" s="181"/>
      <c r="I25" s="184">
        <v>24</v>
      </c>
      <c r="J25" s="92">
        <v>2</v>
      </c>
      <c r="K25" s="92"/>
      <c r="L25" s="92"/>
    </row>
    <row r="26" spans="1:12" ht="16.5">
      <c r="A26" s="76" t="s">
        <v>418</v>
      </c>
      <c r="B26" s="34" t="s">
        <v>162</v>
      </c>
      <c r="C26" s="56" t="s">
        <v>166</v>
      </c>
      <c r="D26" s="207"/>
      <c r="E26" s="91" t="s">
        <v>79</v>
      </c>
      <c r="F26" s="91" t="s">
        <v>83</v>
      </c>
      <c r="G26" s="91" t="s">
        <v>84</v>
      </c>
      <c r="H26" s="182"/>
      <c r="I26" s="184"/>
      <c r="J26" s="91">
        <v>1</v>
      </c>
      <c r="K26" s="91"/>
      <c r="L26" s="91"/>
    </row>
    <row r="27" spans="1:12" ht="16.5">
      <c r="A27" s="76" t="s">
        <v>418</v>
      </c>
      <c r="B27" s="34" t="s">
        <v>162</v>
      </c>
      <c r="C27" s="54" t="s">
        <v>167</v>
      </c>
      <c r="D27" s="207"/>
      <c r="E27" s="91" t="s">
        <v>79</v>
      </c>
      <c r="F27" s="91" t="s">
        <v>83</v>
      </c>
      <c r="G27" s="91" t="s">
        <v>84</v>
      </c>
      <c r="H27" s="182"/>
      <c r="I27" s="184"/>
      <c r="J27" s="92">
        <v>3</v>
      </c>
      <c r="K27" s="92"/>
      <c r="L27" s="92"/>
    </row>
    <row r="28" spans="1:12" ht="16.5">
      <c r="A28" s="76" t="s">
        <v>418</v>
      </c>
      <c r="B28" s="34" t="s">
        <v>162</v>
      </c>
      <c r="C28" s="56" t="s">
        <v>168</v>
      </c>
      <c r="D28" s="207"/>
      <c r="E28" s="3" t="s">
        <v>79</v>
      </c>
      <c r="F28" s="3" t="s">
        <v>117</v>
      </c>
      <c r="G28" s="3" t="s">
        <v>118</v>
      </c>
      <c r="H28" s="182"/>
      <c r="I28" s="184"/>
      <c r="J28" s="91">
        <v>11</v>
      </c>
      <c r="K28" s="91"/>
      <c r="L28" s="91"/>
    </row>
    <row r="29" spans="1:12" ht="16.5">
      <c r="A29" s="76" t="s">
        <v>418</v>
      </c>
      <c r="B29" s="34" t="s">
        <v>162</v>
      </c>
      <c r="C29" s="54" t="s">
        <v>169</v>
      </c>
      <c r="D29" s="207"/>
      <c r="E29" s="3" t="s">
        <v>79</v>
      </c>
      <c r="F29" s="3" t="s">
        <v>117</v>
      </c>
      <c r="G29" s="3" t="s">
        <v>118</v>
      </c>
      <c r="H29" s="182"/>
      <c r="I29" s="184"/>
      <c r="J29" s="92">
        <v>1</v>
      </c>
      <c r="K29" s="92"/>
      <c r="L29" s="92"/>
    </row>
    <row r="30" spans="1:12" ht="16.5">
      <c r="A30" s="76" t="s">
        <v>418</v>
      </c>
      <c r="B30" s="34" t="s">
        <v>162</v>
      </c>
      <c r="C30" s="56" t="s">
        <v>170</v>
      </c>
      <c r="D30" s="207"/>
      <c r="E30" s="3" t="s">
        <v>79</v>
      </c>
      <c r="F30" s="3" t="s">
        <v>117</v>
      </c>
      <c r="G30" s="3" t="s">
        <v>171</v>
      </c>
      <c r="H30" s="183"/>
      <c r="I30" s="184"/>
      <c r="J30" s="91">
        <v>3</v>
      </c>
      <c r="K30" s="91"/>
      <c r="L30" s="91"/>
    </row>
    <row r="31" spans="1:12" ht="16.5">
      <c r="A31" s="76" t="s">
        <v>418</v>
      </c>
      <c r="B31" s="34" t="s">
        <v>195</v>
      </c>
      <c r="C31" s="92" t="s">
        <v>168</v>
      </c>
      <c r="D31" s="207"/>
      <c r="E31" s="3" t="s">
        <v>79</v>
      </c>
      <c r="F31" s="3" t="s">
        <v>117</v>
      </c>
      <c r="G31" s="3" t="s">
        <v>118</v>
      </c>
      <c r="H31" s="92"/>
      <c r="I31" s="138"/>
      <c r="J31" s="92">
        <v>8</v>
      </c>
      <c r="K31" s="92"/>
      <c r="L31" s="92"/>
    </row>
    <row r="32" spans="1:12" ht="16.5">
      <c r="A32" s="76" t="s">
        <v>418</v>
      </c>
      <c r="B32" s="34" t="s">
        <v>195</v>
      </c>
      <c r="C32" s="56" t="s">
        <v>167</v>
      </c>
      <c r="D32" s="207"/>
      <c r="E32" s="91" t="s">
        <v>79</v>
      </c>
      <c r="F32" s="91" t="s">
        <v>83</v>
      </c>
      <c r="G32" s="91" t="s">
        <v>84</v>
      </c>
      <c r="H32" s="91"/>
      <c r="I32" s="137"/>
      <c r="J32" s="91">
        <v>1</v>
      </c>
      <c r="K32" s="91"/>
      <c r="L32" s="91"/>
    </row>
    <row r="33" spans="1:12" ht="16.5">
      <c r="A33" s="76" t="s">
        <v>418</v>
      </c>
      <c r="B33" s="34" t="s">
        <v>195</v>
      </c>
      <c r="C33" s="54" t="s">
        <v>196</v>
      </c>
      <c r="D33" s="207"/>
      <c r="E33" s="91" t="s">
        <v>79</v>
      </c>
      <c r="F33" s="91" t="s">
        <v>83</v>
      </c>
      <c r="G33" s="91" t="s">
        <v>84</v>
      </c>
      <c r="H33" s="92"/>
      <c r="I33" s="138"/>
      <c r="J33" s="92">
        <v>1</v>
      </c>
      <c r="K33" s="92"/>
      <c r="L33" s="92"/>
    </row>
    <row r="34" spans="1:12" ht="16.5">
      <c r="A34" s="76" t="s">
        <v>418</v>
      </c>
      <c r="B34" s="34" t="s">
        <v>195</v>
      </c>
      <c r="C34" s="56" t="s">
        <v>197</v>
      </c>
      <c r="D34" s="207"/>
      <c r="E34" s="3" t="s">
        <v>79</v>
      </c>
      <c r="F34" s="3" t="s">
        <v>117</v>
      </c>
      <c r="G34" s="3" t="s">
        <v>118</v>
      </c>
      <c r="H34" s="91"/>
      <c r="I34" s="137"/>
      <c r="J34" s="91">
        <v>1</v>
      </c>
      <c r="K34" s="91"/>
      <c r="L34" s="91"/>
    </row>
    <row r="35" spans="1:12" ht="16.5">
      <c r="A35" s="76" t="s">
        <v>418</v>
      </c>
      <c r="B35" s="34" t="s">
        <v>195</v>
      </c>
      <c r="C35" s="54" t="s">
        <v>170</v>
      </c>
      <c r="D35" s="207"/>
      <c r="E35" s="3" t="s">
        <v>79</v>
      </c>
      <c r="F35" s="3" t="s">
        <v>117</v>
      </c>
      <c r="G35" s="3" t="s">
        <v>171</v>
      </c>
      <c r="H35" s="92"/>
      <c r="I35" s="138"/>
      <c r="J35" s="92">
        <v>3</v>
      </c>
      <c r="K35" s="92"/>
      <c r="L35" s="92"/>
    </row>
    <row r="36" spans="1:12" ht="16.5">
      <c r="A36" s="76" t="s">
        <v>418</v>
      </c>
      <c r="B36" s="34" t="s">
        <v>195</v>
      </c>
      <c r="C36" s="56" t="s">
        <v>168</v>
      </c>
      <c r="D36" s="207"/>
      <c r="E36" s="3" t="s">
        <v>79</v>
      </c>
      <c r="F36" s="3" t="s">
        <v>117</v>
      </c>
      <c r="G36" s="3" t="s">
        <v>118</v>
      </c>
      <c r="H36" s="91"/>
      <c r="I36" s="137"/>
      <c r="J36" s="91">
        <v>1</v>
      </c>
      <c r="K36" s="91"/>
      <c r="L36" s="91"/>
    </row>
    <row r="37" spans="1:12" ht="16.5">
      <c r="A37" s="76" t="s">
        <v>418</v>
      </c>
      <c r="B37" s="34" t="s">
        <v>208</v>
      </c>
      <c r="C37" s="54" t="s">
        <v>212</v>
      </c>
      <c r="D37" s="207"/>
      <c r="E37" s="3" t="s">
        <v>79</v>
      </c>
      <c r="F37" s="3" t="s">
        <v>117</v>
      </c>
      <c r="G37" s="3" t="s">
        <v>118</v>
      </c>
      <c r="H37" s="181"/>
      <c r="I37" s="184">
        <v>40</v>
      </c>
      <c r="J37" s="92">
        <v>2</v>
      </c>
      <c r="K37" s="92"/>
      <c r="L37" s="92"/>
    </row>
    <row r="38" spans="1:12" ht="16.5">
      <c r="A38" s="76" t="s">
        <v>418</v>
      </c>
      <c r="B38" s="34" t="s">
        <v>208</v>
      </c>
      <c r="C38" s="56" t="s">
        <v>213</v>
      </c>
      <c r="D38" s="207"/>
      <c r="E38" s="3" t="s">
        <v>79</v>
      </c>
      <c r="F38" s="3" t="s">
        <v>83</v>
      </c>
      <c r="G38" s="3" t="s">
        <v>84</v>
      </c>
      <c r="H38" s="182"/>
      <c r="I38" s="184"/>
      <c r="J38" s="91">
        <v>1</v>
      </c>
      <c r="K38" s="91"/>
      <c r="L38" s="91"/>
    </row>
    <row r="39" spans="1:12" ht="16.5">
      <c r="A39" s="76" t="s">
        <v>418</v>
      </c>
      <c r="B39" s="34" t="s">
        <v>208</v>
      </c>
      <c r="C39" s="54" t="s">
        <v>169</v>
      </c>
      <c r="D39" s="207"/>
      <c r="E39" s="3" t="s">
        <v>79</v>
      </c>
      <c r="F39" s="3" t="s">
        <v>117</v>
      </c>
      <c r="G39" s="3" t="s">
        <v>118</v>
      </c>
      <c r="H39" s="182"/>
      <c r="I39" s="184"/>
      <c r="J39" s="92">
        <v>2</v>
      </c>
      <c r="K39" s="92"/>
      <c r="L39" s="92"/>
    </row>
    <row r="40" spans="1:12" ht="16.5">
      <c r="A40" s="76" t="s">
        <v>418</v>
      </c>
      <c r="B40" s="34" t="s">
        <v>208</v>
      </c>
      <c r="C40" s="56" t="s">
        <v>214</v>
      </c>
      <c r="D40" s="207"/>
      <c r="E40" s="3" t="s">
        <v>79</v>
      </c>
      <c r="F40" s="3" t="s">
        <v>117</v>
      </c>
      <c r="G40" s="3" t="s">
        <v>118</v>
      </c>
      <c r="H40" s="182"/>
      <c r="I40" s="184"/>
      <c r="J40" s="91">
        <v>4</v>
      </c>
      <c r="K40" s="91"/>
      <c r="L40" s="91"/>
    </row>
    <row r="41" spans="1:12" ht="16.5">
      <c r="A41" s="76" t="s">
        <v>418</v>
      </c>
      <c r="B41" s="34" t="s">
        <v>208</v>
      </c>
      <c r="C41" s="54" t="s">
        <v>170</v>
      </c>
      <c r="D41" s="207"/>
      <c r="E41" s="3" t="s">
        <v>79</v>
      </c>
      <c r="F41" s="3" t="s">
        <v>117</v>
      </c>
      <c r="G41" s="3" t="s">
        <v>171</v>
      </c>
      <c r="H41" s="182"/>
      <c r="I41" s="184"/>
      <c r="J41" s="92">
        <v>6</v>
      </c>
      <c r="K41" s="92"/>
      <c r="L41" s="92"/>
    </row>
    <row r="42" spans="1:12" ht="16.5">
      <c r="A42" s="76" t="s">
        <v>418</v>
      </c>
      <c r="B42" s="34" t="s">
        <v>208</v>
      </c>
      <c r="C42" s="56" t="s">
        <v>215</v>
      </c>
      <c r="D42" s="207"/>
      <c r="E42" s="91" t="s">
        <v>79</v>
      </c>
      <c r="F42" s="91" t="s">
        <v>83</v>
      </c>
      <c r="G42" s="91" t="s">
        <v>84</v>
      </c>
      <c r="H42" s="182"/>
      <c r="I42" s="184"/>
      <c r="J42" s="91">
        <v>1</v>
      </c>
      <c r="K42" s="91"/>
      <c r="L42" s="91"/>
    </row>
    <row r="43" spans="1:12" ht="16.5">
      <c r="A43" s="76" t="s">
        <v>418</v>
      </c>
      <c r="B43" s="34" t="s">
        <v>208</v>
      </c>
      <c r="C43" s="54" t="s">
        <v>216</v>
      </c>
      <c r="D43" s="207"/>
      <c r="E43" s="3" t="s">
        <v>79</v>
      </c>
      <c r="F43" s="3" t="s">
        <v>83</v>
      </c>
      <c r="G43" s="3" t="s">
        <v>84</v>
      </c>
      <c r="H43" s="183"/>
      <c r="I43" s="184"/>
      <c r="J43" s="92">
        <v>1</v>
      </c>
      <c r="K43" s="92"/>
      <c r="L43" s="92"/>
    </row>
    <row r="44" spans="1:12" ht="16.5">
      <c r="A44" s="76" t="s">
        <v>418</v>
      </c>
      <c r="B44" s="34" t="s">
        <v>229</v>
      </c>
      <c r="C44" s="68" t="s">
        <v>433</v>
      </c>
      <c r="D44" s="207"/>
      <c r="E44" s="3" t="s">
        <v>79</v>
      </c>
      <c r="F44" s="3" t="s">
        <v>117</v>
      </c>
      <c r="G44" s="3" t="s">
        <v>118</v>
      </c>
      <c r="H44" s="92"/>
      <c r="I44" s="138"/>
      <c r="J44" s="91">
        <v>1</v>
      </c>
      <c r="K44" s="92"/>
      <c r="L44" s="92"/>
    </row>
    <row r="45" spans="1:12" ht="16.5">
      <c r="A45" s="76" t="s">
        <v>418</v>
      </c>
      <c r="B45" s="34" t="s">
        <v>229</v>
      </c>
      <c r="C45" s="68" t="s">
        <v>434</v>
      </c>
      <c r="D45" s="207"/>
      <c r="E45" s="91" t="s">
        <v>79</v>
      </c>
      <c r="F45" s="91" t="s">
        <v>83</v>
      </c>
      <c r="G45" s="91" t="s">
        <v>84</v>
      </c>
      <c r="H45" s="92"/>
      <c r="I45" s="138"/>
      <c r="J45" s="91">
        <v>1</v>
      </c>
      <c r="K45" s="92"/>
      <c r="L45" s="92"/>
    </row>
    <row r="46" spans="1:12" ht="16.5">
      <c r="A46" s="76" t="s">
        <v>418</v>
      </c>
      <c r="B46" s="34" t="s">
        <v>229</v>
      </c>
      <c r="C46" s="68" t="s">
        <v>264</v>
      </c>
      <c r="D46" s="207"/>
      <c r="E46" s="3" t="s">
        <v>79</v>
      </c>
      <c r="F46" s="3" t="s">
        <v>117</v>
      </c>
      <c r="G46" s="3" t="s">
        <v>118</v>
      </c>
      <c r="H46" s="92"/>
      <c r="I46" s="138"/>
      <c r="J46" s="91">
        <v>2</v>
      </c>
      <c r="K46" s="92"/>
      <c r="L46" s="92"/>
    </row>
    <row r="47" spans="1:12" ht="16.5">
      <c r="A47" s="76" t="s">
        <v>418</v>
      </c>
      <c r="B47" s="34" t="s">
        <v>229</v>
      </c>
      <c r="C47" s="68" t="s">
        <v>435</v>
      </c>
      <c r="D47" s="207"/>
      <c r="E47" s="3" t="s">
        <v>79</v>
      </c>
      <c r="F47" s="3" t="s">
        <v>117</v>
      </c>
      <c r="G47" s="3" t="s">
        <v>118</v>
      </c>
      <c r="H47" s="92"/>
      <c r="I47" s="138"/>
      <c r="J47" s="91">
        <v>1</v>
      </c>
      <c r="K47" s="92"/>
      <c r="L47" s="92"/>
    </row>
    <row r="48" spans="1:12" ht="16.5">
      <c r="A48" s="76" t="s">
        <v>418</v>
      </c>
      <c r="B48" s="34" t="s">
        <v>255</v>
      </c>
      <c r="C48" s="69" t="s">
        <v>440</v>
      </c>
      <c r="D48" s="207"/>
      <c r="E48" s="3" t="s">
        <v>79</v>
      </c>
      <c r="F48" s="3" t="s">
        <v>117</v>
      </c>
      <c r="G48" s="3" t="s">
        <v>118</v>
      </c>
      <c r="H48" s="91"/>
      <c r="I48" s="137"/>
      <c r="J48" s="92">
        <v>1</v>
      </c>
      <c r="K48" s="91"/>
      <c r="L48" s="91"/>
    </row>
    <row r="49" spans="1:12" ht="16.5">
      <c r="A49" s="76" t="s">
        <v>418</v>
      </c>
      <c r="B49" s="34" t="s">
        <v>255</v>
      </c>
      <c r="C49" s="69" t="s">
        <v>441</v>
      </c>
      <c r="D49" s="207"/>
      <c r="E49" s="3" t="s">
        <v>79</v>
      </c>
      <c r="F49" s="3" t="s">
        <v>117</v>
      </c>
      <c r="G49" s="3" t="s">
        <v>118</v>
      </c>
      <c r="H49" s="91"/>
      <c r="I49" s="137"/>
      <c r="J49" s="92">
        <v>1</v>
      </c>
      <c r="K49" s="91"/>
      <c r="L49" s="91"/>
    </row>
    <row r="50" spans="1:12" ht="16.5">
      <c r="A50" s="76" t="s">
        <v>418</v>
      </c>
      <c r="B50" s="34" t="s">
        <v>255</v>
      </c>
      <c r="C50" s="69" t="s">
        <v>264</v>
      </c>
      <c r="D50" s="207"/>
      <c r="E50" s="3" t="s">
        <v>79</v>
      </c>
      <c r="F50" s="3" t="s">
        <v>117</v>
      </c>
      <c r="G50" s="3" t="s">
        <v>118</v>
      </c>
      <c r="H50" s="91"/>
      <c r="I50" s="137"/>
      <c r="J50" s="92">
        <v>1</v>
      </c>
      <c r="K50" s="91"/>
      <c r="L50" s="91"/>
    </row>
    <row r="51" spans="1:12" ht="16.5">
      <c r="A51" s="76" t="s">
        <v>418</v>
      </c>
      <c r="B51" s="34" t="s">
        <v>255</v>
      </c>
      <c r="C51" s="69" t="s">
        <v>265</v>
      </c>
      <c r="D51" s="207"/>
      <c r="E51" s="91" t="s">
        <v>79</v>
      </c>
      <c r="F51" s="91" t="s">
        <v>83</v>
      </c>
      <c r="G51" s="91" t="s">
        <v>84</v>
      </c>
      <c r="H51" s="91"/>
      <c r="I51" s="137"/>
      <c r="J51" s="92">
        <v>2</v>
      </c>
      <c r="K51" s="91"/>
      <c r="L51" s="91"/>
    </row>
    <row r="52" spans="1:12" ht="16.5">
      <c r="A52" s="76" t="s">
        <v>418</v>
      </c>
      <c r="B52" s="34" t="s">
        <v>255</v>
      </c>
      <c r="C52" s="69" t="s">
        <v>266</v>
      </c>
      <c r="D52" s="207"/>
      <c r="E52" s="3" t="s">
        <v>79</v>
      </c>
      <c r="F52" s="3" t="s">
        <v>117</v>
      </c>
      <c r="G52" s="3" t="s">
        <v>118</v>
      </c>
      <c r="H52" s="91"/>
      <c r="I52" s="137"/>
      <c r="J52" s="92">
        <v>1</v>
      </c>
      <c r="K52" s="91"/>
      <c r="L52" s="91"/>
    </row>
    <row r="53" spans="1:12" ht="16.5">
      <c r="A53" s="76" t="s">
        <v>418</v>
      </c>
      <c r="B53" s="34" t="s">
        <v>275</v>
      </c>
      <c r="C53" s="54" t="s">
        <v>274</v>
      </c>
      <c r="D53" s="207"/>
      <c r="E53" s="3" t="s">
        <v>79</v>
      </c>
      <c r="F53" s="3" t="s">
        <v>117</v>
      </c>
      <c r="G53" s="3" t="s">
        <v>118</v>
      </c>
      <c r="H53" s="92"/>
      <c r="I53" s="138"/>
      <c r="J53" s="92">
        <v>1</v>
      </c>
      <c r="K53" s="92"/>
      <c r="L53" s="92"/>
    </row>
    <row r="54" spans="1:12" ht="16.5">
      <c r="A54" s="76" t="s">
        <v>418</v>
      </c>
      <c r="B54" s="34" t="s">
        <v>275</v>
      </c>
      <c r="C54" s="56" t="s">
        <v>285</v>
      </c>
      <c r="D54" s="207"/>
      <c r="E54" s="3" t="s">
        <v>79</v>
      </c>
      <c r="F54" s="3" t="s">
        <v>117</v>
      </c>
      <c r="G54" s="3" t="s">
        <v>118</v>
      </c>
      <c r="H54" s="91"/>
      <c r="I54" s="137"/>
      <c r="J54" s="91">
        <v>5</v>
      </c>
      <c r="K54" s="91"/>
      <c r="L54" s="91"/>
    </row>
    <row r="55" spans="1:12" ht="16.5">
      <c r="A55" s="76" t="s">
        <v>418</v>
      </c>
      <c r="B55" s="34" t="s">
        <v>275</v>
      </c>
      <c r="C55" s="54" t="s">
        <v>128</v>
      </c>
      <c r="D55" s="207"/>
      <c r="E55" s="3" t="s">
        <v>79</v>
      </c>
      <c r="F55" s="3" t="s">
        <v>117</v>
      </c>
      <c r="G55" s="3" t="s">
        <v>118</v>
      </c>
      <c r="H55" s="92"/>
      <c r="I55" s="138"/>
      <c r="J55" s="92">
        <v>1</v>
      </c>
      <c r="K55" s="92"/>
      <c r="L55" s="92"/>
    </row>
    <row r="56" spans="1:12" ht="16.5">
      <c r="A56" s="76" t="s">
        <v>418</v>
      </c>
      <c r="B56" s="34" t="s">
        <v>275</v>
      </c>
      <c r="C56" s="56" t="s">
        <v>266</v>
      </c>
      <c r="D56" s="207"/>
      <c r="E56" s="3" t="s">
        <v>79</v>
      </c>
      <c r="F56" s="3" t="s">
        <v>117</v>
      </c>
      <c r="G56" s="3" t="s">
        <v>118</v>
      </c>
      <c r="H56" s="91"/>
      <c r="I56" s="137"/>
      <c r="J56" s="91">
        <v>1</v>
      </c>
      <c r="K56" s="91"/>
      <c r="L56" s="91"/>
    </row>
    <row r="57" spans="1:12" ht="16.5">
      <c r="A57" s="76" t="s">
        <v>418</v>
      </c>
      <c r="B57" s="34" t="s">
        <v>277</v>
      </c>
      <c r="C57" s="56" t="s">
        <v>284</v>
      </c>
      <c r="D57" s="207"/>
      <c r="E57" s="91" t="s">
        <v>79</v>
      </c>
      <c r="F57" s="91" t="s">
        <v>83</v>
      </c>
      <c r="G57" s="91" t="s">
        <v>84</v>
      </c>
      <c r="H57" s="91"/>
      <c r="I57" s="137"/>
      <c r="J57" s="91">
        <v>2</v>
      </c>
      <c r="K57" s="91"/>
      <c r="L57" s="91"/>
    </row>
    <row r="58" spans="1:12" ht="16.5">
      <c r="A58" s="76" t="s">
        <v>418</v>
      </c>
      <c r="B58" s="34" t="s">
        <v>277</v>
      </c>
      <c r="C58" s="54" t="s">
        <v>285</v>
      </c>
      <c r="D58" s="207"/>
      <c r="E58" s="3" t="s">
        <v>79</v>
      </c>
      <c r="F58" s="3" t="s">
        <v>117</v>
      </c>
      <c r="G58" s="3" t="s">
        <v>118</v>
      </c>
      <c r="H58" s="92"/>
      <c r="I58" s="138"/>
      <c r="J58" s="92">
        <v>5</v>
      </c>
      <c r="K58" s="92"/>
      <c r="L58" s="92"/>
    </row>
    <row r="59" spans="1:12" ht="16.5">
      <c r="A59" s="76" t="s">
        <v>418</v>
      </c>
      <c r="B59" s="34" t="s">
        <v>277</v>
      </c>
      <c r="C59" s="56" t="s">
        <v>286</v>
      </c>
      <c r="D59" s="207"/>
      <c r="E59" s="3" t="s">
        <v>79</v>
      </c>
      <c r="F59" s="3" t="s">
        <v>117</v>
      </c>
      <c r="G59" s="3" t="s">
        <v>118</v>
      </c>
      <c r="H59" s="91"/>
      <c r="I59" s="137"/>
      <c r="J59" s="91">
        <v>1</v>
      </c>
      <c r="K59" s="91"/>
      <c r="L59" s="91"/>
    </row>
    <row r="60" spans="1:12" ht="16.5">
      <c r="A60" s="76" t="s">
        <v>418</v>
      </c>
      <c r="B60" s="34" t="s">
        <v>277</v>
      </c>
      <c r="C60" s="54" t="s">
        <v>448</v>
      </c>
      <c r="D60" s="207"/>
      <c r="E60" s="3" t="s">
        <v>79</v>
      </c>
      <c r="F60" s="3" t="s">
        <v>83</v>
      </c>
      <c r="G60" s="3" t="s">
        <v>84</v>
      </c>
      <c r="H60" s="92"/>
      <c r="I60" s="138"/>
      <c r="J60" s="92">
        <v>1</v>
      </c>
      <c r="K60" s="92"/>
      <c r="L60" s="92"/>
    </row>
    <row r="61" spans="1:12" ht="16.5">
      <c r="A61" s="76" t="s">
        <v>418</v>
      </c>
      <c r="B61" s="34" t="s">
        <v>277</v>
      </c>
      <c r="C61" s="56" t="s">
        <v>287</v>
      </c>
      <c r="D61" s="207"/>
      <c r="E61" s="3" t="s">
        <v>79</v>
      </c>
      <c r="F61" s="3" t="s">
        <v>117</v>
      </c>
      <c r="G61" s="3" t="s">
        <v>118</v>
      </c>
      <c r="H61" s="91"/>
      <c r="I61" s="137"/>
      <c r="J61" s="91">
        <v>4</v>
      </c>
      <c r="K61" s="91"/>
      <c r="L61" s="91"/>
    </row>
    <row r="62" spans="1:12" ht="16.5">
      <c r="A62" s="76" t="s">
        <v>418</v>
      </c>
      <c r="B62" s="34" t="s">
        <v>277</v>
      </c>
      <c r="C62" s="69" t="s">
        <v>288</v>
      </c>
      <c r="D62" s="207"/>
      <c r="E62" s="3" t="s">
        <v>79</v>
      </c>
      <c r="F62" s="3" t="s">
        <v>117</v>
      </c>
      <c r="G62" s="3" t="s">
        <v>118</v>
      </c>
      <c r="H62" s="92"/>
      <c r="I62" s="138"/>
      <c r="J62" s="92">
        <v>1</v>
      </c>
      <c r="K62" s="92"/>
      <c r="L62" s="92"/>
    </row>
    <row r="63" spans="1:12" ht="16.5">
      <c r="A63" s="76" t="s">
        <v>418</v>
      </c>
      <c r="B63" s="34" t="s">
        <v>277</v>
      </c>
      <c r="C63" s="56" t="s">
        <v>289</v>
      </c>
      <c r="D63" s="207"/>
      <c r="E63" s="91" t="s">
        <v>79</v>
      </c>
      <c r="F63" s="91" t="s">
        <v>83</v>
      </c>
      <c r="G63" s="91" t="s">
        <v>84</v>
      </c>
      <c r="H63" s="91"/>
      <c r="I63" s="137"/>
      <c r="J63" s="91">
        <v>2</v>
      </c>
      <c r="K63" s="91"/>
      <c r="L63" s="91"/>
    </row>
    <row r="64" spans="1:12" ht="16.5">
      <c r="A64" s="76" t="s">
        <v>418</v>
      </c>
      <c r="B64" s="34" t="s">
        <v>291</v>
      </c>
      <c r="C64" s="54" t="s">
        <v>287</v>
      </c>
      <c r="D64" s="207"/>
      <c r="E64" s="3" t="s">
        <v>79</v>
      </c>
      <c r="F64" s="3" t="s">
        <v>117</v>
      </c>
      <c r="G64" s="3" t="s">
        <v>118</v>
      </c>
      <c r="H64" s="92"/>
      <c r="I64" s="138"/>
      <c r="J64" s="92">
        <v>4</v>
      </c>
      <c r="K64" s="54"/>
      <c r="L64" s="54"/>
    </row>
    <row r="65" spans="1:12" ht="16.5">
      <c r="A65" s="76" t="s">
        <v>418</v>
      </c>
      <c r="B65" s="34" t="s">
        <v>291</v>
      </c>
      <c r="C65" s="56" t="s">
        <v>296</v>
      </c>
      <c r="D65" s="207"/>
      <c r="E65" s="3" t="s">
        <v>79</v>
      </c>
      <c r="F65" s="3" t="s">
        <v>117</v>
      </c>
      <c r="G65" s="3" t="s">
        <v>118</v>
      </c>
      <c r="H65" s="91"/>
      <c r="I65" s="137"/>
      <c r="J65" s="91">
        <v>2</v>
      </c>
      <c r="K65" s="91"/>
      <c r="L65" s="91"/>
    </row>
    <row r="66" spans="1:12" ht="16.5">
      <c r="A66" s="76" t="s">
        <v>418</v>
      </c>
      <c r="B66" s="34" t="s">
        <v>291</v>
      </c>
      <c r="C66" s="54" t="s">
        <v>285</v>
      </c>
      <c r="D66" s="207"/>
      <c r="E66" s="3" t="s">
        <v>79</v>
      </c>
      <c r="F66" s="3" t="s">
        <v>117</v>
      </c>
      <c r="G66" s="3" t="s">
        <v>118</v>
      </c>
      <c r="H66" s="92"/>
      <c r="I66" s="138"/>
      <c r="J66" s="92">
        <v>4</v>
      </c>
      <c r="K66" s="54"/>
      <c r="L66" s="54"/>
    </row>
    <row r="67" spans="1:12" ht="16.5">
      <c r="A67" s="76" t="s">
        <v>418</v>
      </c>
      <c r="B67" s="34" t="s">
        <v>291</v>
      </c>
      <c r="C67" s="56" t="s">
        <v>297</v>
      </c>
      <c r="D67" s="207"/>
      <c r="E67" s="3" t="s">
        <v>79</v>
      </c>
      <c r="F67" s="3" t="s">
        <v>117</v>
      </c>
      <c r="G67" s="3" t="s">
        <v>118</v>
      </c>
      <c r="H67" s="91"/>
      <c r="I67" s="137"/>
      <c r="J67" s="91">
        <v>2</v>
      </c>
      <c r="K67" s="91"/>
      <c r="L67" s="91"/>
    </row>
    <row r="68" spans="1:12" ht="16.5">
      <c r="A68" s="76" t="s">
        <v>418</v>
      </c>
      <c r="B68" s="34" t="s">
        <v>291</v>
      </c>
      <c r="C68" s="54" t="s">
        <v>286</v>
      </c>
      <c r="D68" s="207"/>
      <c r="E68" s="3" t="s">
        <v>79</v>
      </c>
      <c r="F68" s="3" t="s">
        <v>117</v>
      </c>
      <c r="G68" s="3" t="s">
        <v>118</v>
      </c>
      <c r="H68" s="92"/>
      <c r="I68" s="138"/>
      <c r="J68" s="92">
        <v>1</v>
      </c>
      <c r="K68" s="54"/>
      <c r="L68" s="54"/>
    </row>
    <row r="69" spans="1:12" ht="16.5">
      <c r="A69" s="76" t="s">
        <v>418</v>
      </c>
      <c r="B69" s="34" t="s">
        <v>291</v>
      </c>
      <c r="C69" s="56" t="s">
        <v>284</v>
      </c>
      <c r="D69" s="207"/>
      <c r="E69" s="91" t="s">
        <v>79</v>
      </c>
      <c r="F69" s="91" t="s">
        <v>83</v>
      </c>
      <c r="G69" s="91" t="s">
        <v>84</v>
      </c>
      <c r="H69" s="91"/>
      <c r="I69" s="137"/>
      <c r="J69" s="91">
        <v>2</v>
      </c>
      <c r="K69" s="91"/>
      <c r="L69" s="91"/>
    </row>
    <row r="70" spans="1:12" ht="16.5">
      <c r="A70" s="76" t="s">
        <v>418</v>
      </c>
      <c r="B70" s="34" t="s">
        <v>291</v>
      </c>
      <c r="C70" s="54" t="s">
        <v>298</v>
      </c>
      <c r="D70" s="207"/>
      <c r="E70" s="91" t="s">
        <v>79</v>
      </c>
      <c r="F70" s="91" t="s">
        <v>83</v>
      </c>
      <c r="G70" s="91" t="s">
        <v>84</v>
      </c>
      <c r="H70" s="92"/>
      <c r="I70" s="138"/>
      <c r="J70" s="92">
        <v>1</v>
      </c>
      <c r="K70" s="54"/>
      <c r="L70" s="54"/>
    </row>
    <row r="71" spans="1:12" ht="16.5">
      <c r="A71" s="76" t="s">
        <v>418</v>
      </c>
      <c r="B71" s="34" t="s">
        <v>291</v>
      </c>
      <c r="C71" s="56" t="s">
        <v>299</v>
      </c>
      <c r="D71" s="207"/>
      <c r="E71" s="91" t="s">
        <v>79</v>
      </c>
      <c r="F71" s="91" t="s">
        <v>83</v>
      </c>
      <c r="G71" s="91" t="s">
        <v>84</v>
      </c>
      <c r="H71" s="91"/>
      <c r="I71" s="137"/>
      <c r="J71" s="91">
        <v>1</v>
      </c>
      <c r="K71" s="91"/>
      <c r="L71" s="91"/>
    </row>
    <row r="72" spans="1:12" ht="16.5">
      <c r="A72" s="76" t="s">
        <v>418</v>
      </c>
      <c r="B72" s="34" t="s">
        <v>300</v>
      </c>
      <c r="C72" s="56" t="s">
        <v>215</v>
      </c>
      <c r="D72" s="207"/>
      <c r="E72" s="91" t="s">
        <v>79</v>
      </c>
      <c r="F72" s="91" t="s">
        <v>83</v>
      </c>
      <c r="G72" s="91" t="s">
        <v>84</v>
      </c>
      <c r="H72" s="91"/>
      <c r="I72" s="137"/>
      <c r="J72" s="91">
        <v>1</v>
      </c>
      <c r="K72" s="91"/>
      <c r="L72" s="91"/>
    </row>
    <row r="73" spans="1:12" ht="16.5">
      <c r="A73" s="155" t="s">
        <v>418</v>
      </c>
      <c r="B73" s="156" t="s">
        <v>301</v>
      </c>
      <c r="C73" s="157" t="s">
        <v>78</v>
      </c>
      <c r="D73" s="208"/>
      <c r="E73" s="94" t="s">
        <v>79</v>
      </c>
      <c r="F73" s="94" t="s">
        <v>80</v>
      </c>
      <c r="G73" s="158"/>
      <c r="H73" s="94"/>
      <c r="I73" s="134"/>
      <c r="J73" s="94">
        <v>1</v>
      </c>
      <c r="K73" s="157"/>
      <c r="L73" s="157"/>
    </row>
    <row r="74" spans="1:12" ht="16.5">
      <c r="A74" s="76" t="s">
        <v>418</v>
      </c>
      <c r="B74" s="34" t="s">
        <v>301</v>
      </c>
      <c r="C74" s="54" t="s">
        <v>284</v>
      </c>
      <c r="D74" s="207"/>
      <c r="E74" s="91" t="s">
        <v>79</v>
      </c>
      <c r="F74" s="91" t="s">
        <v>83</v>
      </c>
      <c r="G74" s="91" t="s">
        <v>84</v>
      </c>
      <c r="H74" s="92"/>
      <c r="I74" s="138"/>
      <c r="J74" s="92">
        <v>1</v>
      </c>
      <c r="K74" s="54"/>
      <c r="L74" s="54"/>
    </row>
    <row r="75" spans="1:12" ht="16.5">
      <c r="A75" s="76" t="s">
        <v>418</v>
      </c>
      <c r="B75" s="34" t="s">
        <v>301</v>
      </c>
      <c r="C75" s="56" t="s">
        <v>167</v>
      </c>
      <c r="D75" s="207"/>
      <c r="E75" s="91" t="s">
        <v>79</v>
      </c>
      <c r="F75" s="91" t="s">
        <v>83</v>
      </c>
      <c r="G75" s="91" t="s">
        <v>84</v>
      </c>
      <c r="H75" s="91"/>
      <c r="I75" s="137"/>
      <c r="J75" s="91">
        <v>2</v>
      </c>
      <c r="K75" s="91"/>
      <c r="L75" s="91"/>
    </row>
    <row r="76" spans="1:12" ht="16.5">
      <c r="A76" s="76" t="s">
        <v>418</v>
      </c>
      <c r="B76" s="34" t="s">
        <v>301</v>
      </c>
      <c r="C76" s="54" t="s">
        <v>303</v>
      </c>
      <c r="D76" s="207"/>
      <c r="E76" s="3" t="s">
        <v>79</v>
      </c>
      <c r="F76" s="3" t="s">
        <v>83</v>
      </c>
      <c r="G76" s="3" t="s">
        <v>84</v>
      </c>
      <c r="H76" s="92"/>
      <c r="I76" s="138"/>
      <c r="J76" s="92">
        <v>1</v>
      </c>
      <c r="K76" s="54"/>
      <c r="L76" s="54"/>
    </row>
    <row r="77" spans="1:12" ht="16.5">
      <c r="A77" s="76" t="s">
        <v>418</v>
      </c>
      <c r="B77" s="34" t="s">
        <v>304</v>
      </c>
      <c r="C77" s="56" t="s">
        <v>305</v>
      </c>
      <c r="D77" s="207"/>
      <c r="E77" s="3" t="s">
        <v>79</v>
      </c>
      <c r="F77" s="3" t="s">
        <v>117</v>
      </c>
      <c r="G77" s="3" t="s">
        <v>118</v>
      </c>
      <c r="H77" s="177"/>
      <c r="I77" s="190">
        <v>184</v>
      </c>
      <c r="J77" s="91">
        <v>1</v>
      </c>
      <c r="K77" s="91"/>
      <c r="L77" s="91"/>
    </row>
    <row r="78" spans="1:12" ht="16.5">
      <c r="A78" s="76" t="s">
        <v>418</v>
      </c>
      <c r="B78" s="34" t="s">
        <v>304</v>
      </c>
      <c r="C78" s="54" t="s">
        <v>303</v>
      </c>
      <c r="D78" s="207"/>
      <c r="E78" s="3" t="s">
        <v>79</v>
      </c>
      <c r="F78" s="3" t="s">
        <v>83</v>
      </c>
      <c r="G78" s="3" t="s">
        <v>84</v>
      </c>
      <c r="H78" s="178"/>
      <c r="I78" s="190"/>
      <c r="J78" s="92">
        <v>3</v>
      </c>
      <c r="K78" s="54"/>
      <c r="L78" s="54"/>
    </row>
    <row r="79" spans="1:12" ht="16.5">
      <c r="A79" s="76" t="s">
        <v>418</v>
      </c>
      <c r="B79" s="34" t="s">
        <v>304</v>
      </c>
      <c r="C79" s="56" t="s">
        <v>88</v>
      </c>
      <c r="D79" s="207"/>
      <c r="E79" s="3" t="s">
        <v>79</v>
      </c>
      <c r="F79" s="3" t="s">
        <v>117</v>
      </c>
      <c r="G79" s="3" t="s">
        <v>118</v>
      </c>
      <c r="H79" s="178"/>
      <c r="I79" s="190"/>
      <c r="J79" s="91">
        <v>8</v>
      </c>
      <c r="K79" s="91"/>
      <c r="L79" s="91"/>
    </row>
    <row r="80" spans="1:12" ht="16.5">
      <c r="A80" s="76" t="s">
        <v>418</v>
      </c>
      <c r="B80" s="34" t="s">
        <v>304</v>
      </c>
      <c r="C80" s="54" t="s">
        <v>215</v>
      </c>
      <c r="D80" s="207"/>
      <c r="E80" s="91" t="s">
        <v>79</v>
      </c>
      <c r="F80" s="91" t="s">
        <v>83</v>
      </c>
      <c r="G80" s="91" t="s">
        <v>84</v>
      </c>
      <c r="H80" s="178"/>
      <c r="I80" s="190"/>
      <c r="J80" s="92">
        <v>3</v>
      </c>
      <c r="K80" s="54"/>
      <c r="L80" s="54"/>
    </row>
    <row r="81" spans="1:12" ht="16.5">
      <c r="A81" s="76" t="s">
        <v>418</v>
      </c>
      <c r="B81" s="34" t="s">
        <v>304</v>
      </c>
      <c r="C81" s="56" t="s">
        <v>170</v>
      </c>
      <c r="D81" s="207"/>
      <c r="E81" s="3" t="s">
        <v>79</v>
      </c>
      <c r="F81" s="3" t="s">
        <v>117</v>
      </c>
      <c r="G81" s="3" t="s">
        <v>171</v>
      </c>
      <c r="H81" s="178"/>
      <c r="I81" s="190"/>
      <c r="J81" s="91">
        <v>20</v>
      </c>
      <c r="K81" s="91"/>
      <c r="L81" s="91"/>
    </row>
    <row r="82" spans="1:12" ht="16.5">
      <c r="A82" s="76" t="s">
        <v>418</v>
      </c>
      <c r="B82" s="34" t="s">
        <v>304</v>
      </c>
      <c r="C82" s="54" t="s">
        <v>306</v>
      </c>
      <c r="D82" s="207"/>
      <c r="E82" s="3" t="s">
        <v>79</v>
      </c>
      <c r="F82" s="3" t="s">
        <v>117</v>
      </c>
      <c r="G82" s="3" t="s">
        <v>118</v>
      </c>
      <c r="H82" s="179"/>
      <c r="I82" s="190"/>
      <c r="J82" s="92">
        <v>2</v>
      </c>
      <c r="K82" s="54"/>
      <c r="L82" s="54"/>
    </row>
    <row r="83" spans="1:12" ht="16.5">
      <c r="A83" s="76" t="s">
        <v>418</v>
      </c>
      <c r="B83" s="34" t="s">
        <v>304</v>
      </c>
      <c r="C83" s="54" t="s">
        <v>310</v>
      </c>
      <c r="D83" s="207"/>
      <c r="E83" s="3" t="s">
        <v>79</v>
      </c>
      <c r="F83" s="3" t="s">
        <v>117</v>
      </c>
      <c r="G83" s="3" t="s">
        <v>118</v>
      </c>
      <c r="H83" s="92"/>
      <c r="I83" s="138"/>
      <c r="J83" s="92">
        <v>1</v>
      </c>
      <c r="K83" s="54"/>
      <c r="L83" s="54"/>
    </row>
    <row r="84" spans="1:12" ht="16.5">
      <c r="A84" s="76" t="s">
        <v>418</v>
      </c>
      <c r="B84" s="34" t="s">
        <v>304</v>
      </c>
      <c r="C84" s="56" t="s">
        <v>286</v>
      </c>
      <c r="D84" s="207"/>
      <c r="E84" s="3" t="s">
        <v>79</v>
      </c>
      <c r="F84" s="3" t="s">
        <v>117</v>
      </c>
      <c r="G84" s="3" t="s">
        <v>118</v>
      </c>
      <c r="H84" s="91"/>
      <c r="I84" s="137"/>
      <c r="J84" s="91">
        <v>10</v>
      </c>
      <c r="K84" s="91"/>
      <c r="L84" s="91"/>
    </row>
    <row r="85" spans="1:12" ht="16.5">
      <c r="A85" s="76" t="s">
        <v>418</v>
      </c>
      <c r="B85" s="34" t="s">
        <v>304</v>
      </c>
      <c r="C85" s="54" t="s">
        <v>311</v>
      </c>
      <c r="D85" s="207"/>
      <c r="E85" s="3" t="s">
        <v>79</v>
      </c>
      <c r="F85" s="3" t="s">
        <v>117</v>
      </c>
      <c r="G85" s="3" t="s">
        <v>118</v>
      </c>
      <c r="H85" s="92"/>
      <c r="I85" s="138"/>
      <c r="J85" s="92">
        <v>1</v>
      </c>
      <c r="K85" s="54"/>
      <c r="L85" s="54"/>
    </row>
    <row r="86" spans="1:12" ht="16.5">
      <c r="A86" s="76" t="s">
        <v>418</v>
      </c>
      <c r="B86" s="34" t="s">
        <v>304</v>
      </c>
      <c r="C86" s="56" t="s">
        <v>167</v>
      </c>
      <c r="D86" s="207"/>
      <c r="E86" s="91" t="s">
        <v>79</v>
      </c>
      <c r="F86" s="91" t="s">
        <v>83</v>
      </c>
      <c r="G86" s="91" t="s">
        <v>84</v>
      </c>
      <c r="H86" s="91"/>
      <c r="I86" s="137"/>
      <c r="J86" s="91">
        <v>7</v>
      </c>
      <c r="K86" s="91"/>
      <c r="L86" s="91"/>
    </row>
    <row r="87" spans="1:12" ht="16.5">
      <c r="A87" s="76" t="s">
        <v>418</v>
      </c>
      <c r="B87" s="34" t="s">
        <v>304</v>
      </c>
      <c r="C87" s="54" t="s">
        <v>128</v>
      </c>
      <c r="D87" s="207"/>
      <c r="E87" s="3" t="s">
        <v>79</v>
      </c>
      <c r="F87" s="3" t="s">
        <v>117</v>
      </c>
      <c r="G87" s="3" t="s">
        <v>118</v>
      </c>
      <c r="H87" s="92"/>
      <c r="I87" s="138"/>
      <c r="J87" s="92">
        <v>4</v>
      </c>
      <c r="K87" s="54"/>
      <c r="L87" s="54"/>
    </row>
    <row r="88" spans="1:12" ht="16.5">
      <c r="A88" s="76" t="s">
        <v>418</v>
      </c>
      <c r="B88" s="34" t="s">
        <v>304</v>
      </c>
      <c r="C88" s="56" t="s">
        <v>312</v>
      </c>
      <c r="D88" s="207"/>
      <c r="E88" s="3" t="s">
        <v>79</v>
      </c>
      <c r="F88" s="3" t="s">
        <v>313</v>
      </c>
      <c r="G88" s="3" t="s">
        <v>314</v>
      </c>
      <c r="H88" s="91"/>
      <c r="I88" s="137"/>
      <c r="J88" s="91">
        <v>5</v>
      </c>
      <c r="K88" s="91"/>
      <c r="L88" s="91"/>
    </row>
    <row r="89" spans="1:12" ht="16.5">
      <c r="A89" s="76" t="s">
        <v>418</v>
      </c>
      <c r="B89" s="34" t="s">
        <v>332</v>
      </c>
      <c r="C89" s="56" t="s">
        <v>345</v>
      </c>
      <c r="D89" s="207"/>
      <c r="E89" s="3" t="s">
        <v>79</v>
      </c>
      <c r="F89" s="3" t="s">
        <v>117</v>
      </c>
      <c r="G89" s="3" t="s">
        <v>346</v>
      </c>
      <c r="H89" s="91"/>
      <c r="I89" s="137"/>
      <c r="J89" s="91">
        <v>3</v>
      </c>
      <c r="K89" s="91"/>
      <c r="L89" s="91"/>
    </row>
    <row r="90" spans="1:12" ht="16.5">
      <c r="A90" s="76" t="s">
        <v>418</v>
      </c>
      <c r="B90" s="34" t="s">
        <v>332</v>
      </c>
      <c r="C90" s="54" t="s">
        <v>350</v>
      </c>
      <c r="D90" s="207"/>
      <c r="E90" s="3" t="s">
        <v>79</v>
      </c>
      <c r="F90" s="3" t="s">
        <v>351</v>
      </c>
      <c r="G90" s="3"/>
      <c r="H90" s="92"/>
      <c r="I90" s="138"/>
      <c r="J90" s="92">
        <v>2</v>
      </c>
      <c r="K90" s="54"/>
      <c r="L90" s="54"/>
    </row>
    <row r="91" spans="1:12" ht="16.5">
      <c r="A91" s="76" t="s">
        <v>418</v>
      </c>
      <c r="B91" s="34" t="s">
        <v>332</v>
      </c>
      <c r="C91" s="56" t="s">
        <v>286</v>
      </c>
      <c r="D91" s="207"/>
      <c r="E91" s="3" t="s">
        <v>79</v>
      </c>
      <c r="F91" s="3" t="s">
        <v>117</v>
      </c>
      <c r="G91" s="3" t="s">
        <v>118</v>
      </c>
      <c r="H91" s="91"/>
      <c r="I91" s="137"/>
      <c r="J91" s="91">
        <v>52</v>
      </c>
      <c r="K91" s="91"/>
      <c r="L91" s="91"/>
    </row>
    <row r="92" spans="1:12" ht="16.5">
      <c r="A92" s="76" t="s">
        <v>418</v>
      </c>
      <c r="B92" s="34" t="s">
        <v>332</v>
      </c>
      <c r="C92" s="54" t="s">
        <v>352</v>
      </c>
      <c r="D92" s="207"/>
      <c r="E92" s="3" t="s">
        <v>79</v>
      </c>
      <c r="F92" s="3" t="s">
        <v>117</v>
      </c>
      <c r="G92" s="3" t="s">
        <v>118</v>
      </c>
      <c r="H92" s="92"/>
      <c r="I92" s="138"/>
      <c r="J92" s="92">
        <v>2</v>
      </c>
      <c r="K92" s="54"/>
      <c r="L92" s="54"/>
    </row>
    <row r="93" spans="1:12" ht="16.5">
      <c r="A93" s="76" t="s">
        <v>418</v>
      </c>
      <c r="B93" s="34" t="s">
        <v>332</v>
      </c>
      <c r="C93" s="56" t="s">
        <v>312</v>
      </c>
      <c r="D93" s="207"/>
      <c r="E93" s="3" t="s">
        <v>79</v>
      </c>
      <c r="F93" s="3" t="s">
        <v>313</v>
      </c>
      <c r="G93" s="3" t="s">
        <v>314</v>
      </c>
      <c r="H93" s="91"/>
      <c r="I93" s="137"/>
      <c r="J93" s="91">
        <v>3</v>
      </c>
      <c r="K93" s="91"/>
      <c r="L93" s="91"/>
    </row>
    <row r="94" spans="1:12" ht="16.5">
      <c r="A94" s="76" t="s">
        <v>418</v>
      </c>
      <c r="B94" s="34" t="s">
        <v>332</v>
      </c>
      <c r="C94" s="54" t="s">
        <v>285</v>
      </c>
      <c r="D94" s="207"/>
      <c r="E94" s="3" t="s">
        <v>79</v>
      </c>
      <c r="F94" s="3" t="s">
        <v>117</v>
      </c>
      <c r="G94" s="3" t="s">
        <v>118</v>
      </c>
      <c r="H94" s="92"/>
      <c r="I94" s="138"/>
      <c r="J94" s="92">
        <v>11</v>
      </c>
      <c r="K94" s="54"/>
      <c r="L94" s="54"/>
    </row>
    <row r="95" spans="1:12" ht="16.5">
      <c r="A95" s="76" t="s">
        <v>418</v>
      </c>
      <c r="B95" s="34" t="s">
        <v>332</v>
      </c>
      <c r="C95" s="56" t="s">
        <v>167</v>
      </c>
      <c r="D95" s="207"/>
      <c r="E95" s="91" t="s">
        <v>79</v>
      </c>
      <c r="F95" s="91" t="s">
        <v>83</v>
      </c>
      <c r="G95" s="91" t="s">
        <v>84</v>
      </c>
      <c r="H95" s="91"/>
      <c r="I95" s="137"/>
      <c r="J95" s="91">
        <v>9</v>
      </c>
      <c r="K95" s="91"/>
      <c r="L95" s="91"/>
    </row>
    <row r="96" spans="1:12" ht="16.5">
      <c r="A96" s="76" t="s">
        <v>418</v>
      </c>
      <c r="B96" s="34" t="s">
        <v>332</v>
      </c>
      <c r="C96" s="54" t="s">
        <v>88</v>
      </c>
      <c r="D96" s="207"/>
      <c r="E96" s="3" t="s">
        <v>79</v>
      </c>
      <c r="F96" s="3" t="s">
        <v>117</v>
      </c>
      <c r="G96" s="3" t="s">
        <v>118</v>
      </c>
      <c r="H96" s="92"/>
      <c r="I96" s="138"/>
      <c r="J96" s="92">
        <v>12</v>
      </c>
      <c r="K96" s="54"/>
      <c r="L96" s="54"/>
    </row>
    <row r="97" spans="1:12" ht="16.5">
      <c r="A97" s="76" t="s">
        <v>418</v>
      </c>
      <c r="B97" s="34" t="s">
        <v>332</v>
      </c>
      <c r="C97" s="56" t="s">
        <v>289</v>
      </c>
      <c r="D97" s="207"/>
      <c r="E97" s="91" t="s">
        <v>79</v>
      </c>
      <c r="F97" s="91" t="s">
        <v>83</v>
      </c>
      <c r="G97" s="91" t="s">
        <v>84</v>
      </c>
      <c r="H97" s="91"/>
      <c r="I97" s="137"/>
      <c r="J97" s="91">
        <v>1</v>
      </c>
      <c r="K97" s="91"/>
      <c r="L97" s="91"/>
    </row>
    <row r="98" spans="1:12" ht="16.5">
      <c r="A98" s="76" t="s">
        <v>418</v>
      </c>
      <c r="B98" s="34" t="s">
        <v>353</v>
      </c>
      <c r="C98" s="56" t="s">
        <v>303</v>
      </c>
      <c r="D98" s="207"/>
      <c r="E98" s="3" t="s">
        <v>79</v>
      </c>
      <c r="F98" s="3" t="s">
        <v>83</v>
      </c>
      <c r="G98" s="3" t="s">
        <v>84</v>
      </c>
      <c r="H98" s="177"/>
      <c r="I98" s="190">
        <v>100</v>
      </c>
      <c r="J98" s="91">
        <v>3</v>
      </c>
      <c r="K98" s="91"/>
      <c r="L98" s="91"/>
    </row>
    <row r="99" spans="1:12" ht="16.5">
      <c r="A99" s="76" t="s">
        <v>418</v>
      </c>
      <c r="B99" s="34" t="s">
        <v>353</v>
      </c>
      <c r="C99" s="54" t="s">
        <v>305</v>
      </c>
      <c r="D99" s="207"/>
      <c r="E99" s="3" t="s">
        <v>79</v>
      </c>
      <c r="F99" s="3" t="s">
        <v>117</v>
      </c>
      <c r="G99" s="3" t="s">
        <v>118</v>
      </c>
      <c r="H99" s="178"/>
      <c r="I99" s="190"/>
      <c r="J99" s="92">
        <v>5</v>
      </c>
      <c r="K99" s="54"/>
      <c r="L99" s="54"/>
    </row>
    <row r="100" spans="1:12" ht="16.5">
      <c r="A100" s="76" t="s">
        <v>418</v>
      </c>
      <c r="B100" s="34" t="s">
        <v>353</v>
      </c>
      <c r="C100" s="56" t="s">
        <v>170</v>
      </c>
      <c r="D100" s="207"/>
      <c r="E100" s="3" t="s">
        <v>79</v>
      </c>
      <c r="F100" s="3" t="s">
        <v>117</v>
      </c>
      <c r="G100" s="3" t="s">
        <v>171</v>
      </c>
      <c r="H100" s="178"/>
      <c r="I100" s="190"/>
      <c r="J100" s="91">
        <v>2</v>
      </c>
      <c r="K100" s="91"/>
      <c r="L100" s="91"/>
    </row>
    <row r="101" spans="1:12" ht="16.5">
      <c r="A101" s="76" t="s">
        <v>418</v>
      </c>
      <c r="B101" s="34" t="s">
        <v>353</v>
      </c>
      <c r="C101" s="54" t="s">
        <v>169</v>
      </c>
      <c r="D101" s="207"/>
      <c r="E101" s="3" t="s">
        <v>79</v>
      </c>
      <c r="F101" s="3" t="s">
        <v>117</v>
      </c>
      <c r="G101" s="3" t="s">
        <v>118</v>
      </c>
      <c r="H101" s="178"/>
      <c r="I101" s="190"/>
      <c r="J101" s="92">
        <v>1</v>
      </c>
      <c r="K101" s="54"/>
      <c r="L101" s="54"/>
    </row>
    <row r="102" spans="1:12" ht="16.5">
      <c r="A102" s="76" t="s">
        <v>418</v>
      </c>
      <c r="B102" s="34" t="s">
        <v>353</v>
      </c>
      <c r="C102" s="56" t="s">
        <v>354</v>
      </c>
      <c r="D102" s="207"/>
      <c r="E102" s="91" t="s">
        <v>79</v>
      </c>
      <c r="F102" s="91" t="s">
        <v>83</v>
      </c>
      <c r="G102" s="91" t="s">
        <v>84</v>
      </c>
      <c r="H102" s="178"/>
      <c r="I102" s="190"/>
      <c r="J102" s="91">
        <v>4</v>
      </c>
      <c r="K102" s="91"/>
      <c r="L102" s="91"/>
    </row>
    <row r="103" spans="1:12" ht="16.5">
      <c r="A103" s="76" t="s">
        <v>418</v>
      </c>
      <c r="B103" s="34" t="s">
        <v>353</v>
      </c>
      <c r="C103" s="69" t="s">
        <v>355</v>
      </c>
      <c r="D103" s="207"/>
      <c r="E103" s="91" t="s">
        <v>79</v>
      </c>
      <c r="F103" s="91" t="s">
        <v>83</v>
      </c>
      <c r="G103" s="91" t="s">
        <v>84</v>
      </c>
      <c r="H103" s="178"/>
      <c r="I103" s="190"/>
      <c r="J103" s="92">
        <v>2</v>
      </c>
      <c r="K103" s="54"/>
      <c r="L103" s="54"/>
    </row>
    <row r="104" spans="1:12" ht="16.5">
      <c r="A104" s="76" t="s">
        <v>418</v>
      </c>
      <c r="B104" s="34" t="s">
        <v>353</v>
      </c>
      <c r="C104" s="56" t="s">
        <v>168</v>
      </c>
      <c r="D104" s="207"/>
      <c r="E104" s="3" t="s">
        <v>79</v>
      </c>
      <c r="F104" s="3" t="s">
        <v>117</v>
      </c>
      <c r="G104" s="3" t="s">
        <v>118</v>
      </c>
      <c r="H104" s="178"/>
      <c r="I104" s="190"/>
      <c r="J104" s="91">
        <v>1</v>
      </c>
      <c r="K104" s="91"/>
      <c r="L104" s="91"/>
    </row>
    <row r="105" spans="1:12" ht="16.5">
      <c r="A105" s="76" t="s">
        <v>418</v>
      </c>
      <c r="B105" s="34" t="s">
        <v>353</v>
      </c>
      <c r="C105" s="54" t="s">
        <v>352</v>
      </c>
      <c r="D105" s="207"/>
      <c r="E105" s="3" t="s">
        <v>79</v>
      </c>
      <c r="F105" s="3" t="s">
        <v>117</v>
      </c>
      <c r="G105" s="3" t="s">
        <v>118</v>
      </c>
      <c r="H105" s="178"/>
      <c r="I105" s="190"/>
      <c r="J105" s="92">
        <v>3</v>
      </c>
      <c r="K105" s="54"/>
      <c r="L105" s="54"/>
    </row>
    <row r="106" spans="1:12" ht="16.5">
      <c r="A106" s="76" t="s">
        <v>418</v>
      </c>
      <c r="B106" s="34" t="s">
        <v>353</v>
      </c>
      <c r="C106" s="56" t="s">
        <v>130</v>
      </c>
      <c r="D106" s="207"/>
      <c r="E106" s="3" t="s">
        <v>79</v>
      </c>
      <c r="F106" s="3" t="s">
        <v>117</v>
      </c>
      <c r="G106" s="3" t="s">
        <v>118</v>
      </c>
      <c r="H106" s="178"/>
      <c r="I106" s="190"/>
      <c r="J106" s="91">
        <v>2</v>
      </c>
      <c r="K106" s="91"/>
      <c r="L106" s="91"/>
    </row>
    <row r="107" spans="1:12" ht="16.5">
      <c r="A107" s="76" t="s">
        <v>418</v>
      </c>
      <c r="B107" s="34" t="s">
        <v>353</v>
      </c>
      <c r="C107" s="54" t="s">
        <v>128</v>
      </c>
      <c r="D107" s="207"/>
      <c r="E107" s="3" t="s">
        <v>79</v>
      </c>
      <c r="F107" s="3" t="s">
        <v>117</v>
      </c>
      <c r="G107" s="3" t="s">
        <v>118</v>
      </c>
      <c r="H107" s="178"/>
      <c r="I107" s="190"/>
      <c r="J107" s="92">
        <v>3</v>
      </c>
      <c r="K107" s="54"/>
      <c r="L107" s="54"/>
    </row>
    <row r="108" spans="1:12" ht="16.5">
      <c r="A108" s="76" t="s">
        <v>418</v>
      </c>
      <c r="B108" s="34" t="s">
        <v>353</v>
      </c>
      <c r="C108" s="56" t="s">
        <v>214</v>
      </c>
      <c r="D108" s="207"/>
      <c r="E108" s="3" t="s">
        <v>79</v>
      </c>
      <c r="F108" s="3" t="s">
        <v>117</v>
      </c>
      <c r="G108" s="3" t="s">
        <v>118</v>
      </c>
      <c r="H108" s="178"/>
      <c r="I108" s="190"/>
      <c r="J108" s="91">
        <v>1</v>
      </c>
      <c r="K108" s="91"/>
      <c r="L108" s="91"/>
    </row>
    <row r="109" spans="1:12" ht="16.5">
      <c r="A109" s="76" t="s">
        <v>418</v>
      </c>
      <c r="B109" s="34" t="s">
        <v>353</v>
      </c>
      <c r="C109" s="54" t="s">
        <v>167</v>
      </c>
      <c r="D109" s="207"/>
      <c r="E109" s="91" t="s">
        <v>79</v>
      </c>
      <c r="F109" s="91" t="s">
        <v>83</v>
      </c>
      <c r="G109" s="91" t="s">
        <v>84</v>
      </c>
      <c r="H109" s="178"/>
      <c r="I109" s="190"/>
      <c r="J109" s="92">
        <v>12</v>
      </c>
      <c r="K109" s="54"/>
      <c r="L109" s="54"/>
    </row>
    <row r="110" spans="1:12" ht="16.5">
      <c r="A110" s="76" t="s">
        <v>418</v>
      </c>
      <c r="B110" s="34" t="s">
        <v>353</v>
      </c>
      <c r="C110" s="56" t="s">
        <v>285</v>
      </c>
      <c r="D110" s="207"/>
      <c r="E110" s="3" t="s">
        <v>79</v>
      </c>
      <c r="F110" s="3" t="s">
        <v>117</v>
      </c>
      <c r="G110" s="3" t="s">
        <v>118</v>
      </c>
      <c r="H110" s="179"/>
      <c r="I110" s="190"/>
      <c r="J110" s="91">
        <v>1</v>
      </c>
      <c r="K110" s="91"/>
      <c r="L110" s="91"/>
    </row>
    <row r="111" spans="1:12" ht="16.5">
      <c r="A111" s="76" t="s">
        <v>418</v>
      </c>
      <c r="B111" s="34" t="s">
        <v>353</v>
      </c>
      <c r="C111" s="56" t="s">
        <v>350</v>
      </c>
      <c r="D111" s="207"/>
      <c r="E111" s="3" t="s">
        <v>79</v>
      </c>
      <c r="F111" s="3" t="s">
        <v>351</v>
      </c>
      <c r="G111" s="3"/>
      <c r="H111" s="91"/>
      <c r="I111" s="137"/>
      <c r="J111" s="91">
        <v>1</v>
      </c>
      <c r="K111" s="91"/>
      <c r="L111" s="91"/>
    </row>
    <row r="112" spans="1:12" ht="16.5">
      <c r="A112" s="76" t="s">
        <v>418</v>
      </c>
      <c r="B112" s="34" t="s">
        <v>353</v>
      </c>
      <c r="C112" s="54" t="s">
        <v>78</v>
      </c>
      <c r="D112" s="207"/>
      <c r="E112" s="92" t="s">
        <v>79</v>
      </c>
      <c r="F112" s="92" t="s">
        <v>80</v>
      </c>
      <c r="G112" s="3"/>
      <c r="H112" s="92"/>
      <c r="I112" s="138"/>
      <c r="J112" s="92">
        <v>1</v>
      </c>
      <c r="K112" s="54"/>
      <c r="L112" s="54"/>
    </row>
    <row r="113" spans="1:12" ht="16.5">
      <c r="A113" s="76" t="s">
        <v>418</v>
      </c>
      <c r="B113" s="34" t="s">
        <v>372</v>
      </c>
      <c r="C113" s="54" t="s">
        <v>286</v>
      </c>
      <c r="D113" s="207"/>
      <c r="E113" s="3" t="s">
        <v>79</v>
      </c>
      <c r="F113" s="3" t="s">
        <v>117</v>
      </c>
      <c r="G113" s="3" t="s">
        <v>118</v>
      </c>
      <c r="H113" s="92"/>
      <c r="I113" s="138"/>
      <c r="J113" s="92">
        <v>81</v>
      </c>
      <c r="K113" s="54"/>
      <c r="L113" s="54"/>
    </row>
    <row r="114" spans="1:12" ht="16.5">
      <c r="A114" s="76" t="s">
        <v>418</v>
      </c>
      <c r="B114" s="34" t="s">
        <v>372</v>
      </c>
      <c r="C114" s="56" t="s">
        <v>379</v>
      </c>
      <c r="D114" s="207"/>
      <c r="E114" s="3" t="s">
        <v>79</v>
      </c>
      <c r="F114" s="3" t="s">
        <v>117</v>
      </c>
      <c r="G114" s="3" t="s">
        <v>118</v>
      </c>
      <c r="H114" s="91"/>
      <c r="I114" s="137"/>
      <c r="J114" s="91">
        <v>14</v>
      </c>
      <c r="K114" s="91"/>
      <c r="L114" s="91"/>
    </row>
    <row r="115" spans="1:12" ht="16.5">
      <c r="A115" s="76" t="s">
        <v>418</v>
      </c>
      <c r="B115" s="34" t="s">
        <v>372</v>
      </c>
      <c r="C115" s="54" t="s">
        <v>380</v>
      </c>
      <c r="D115" s="207"/>
      <c r="E115" s="3" t="s">
        <v>79</v>
      </c>
      <c r="F115" s="3" t="s">
        <v>117</v>
      </c>
      <c r="G115" s="3" t="s">
        <v>381</v>
      </c>
      <c r="H115" s="92"/>
      <c r="I115" s="138"/>
      <c r="J115" s="92">
        <v>2</v>
      </c>
      <c r="K115" s="54"/>
      <c r="L115" s="54"/>
    </row>
    <row r="116" spans="1:12" ht="16.5">
      <c r="A116" s="76" t="s">
        <v>418</v>
      </c>
      <c r="B116" s="34" t="s">
        <v>372</v>
      </c>
      <c r="C116" s="56" t="s">
        <v>306</v>
      </c>
      <c r="D116" s="207"/>
      <c r="E116" s="3" t="s">
        <v>79</v>
      </c>
      <c r="F116" s="3" t="s">
        <v>117</v>
      </c>
      <c r="G116" s="3" t="s">
        <v>118</v>
      </c>
      <c r="H116" s="91"/>
      <c r="I116" s="137"/>
      <c r="J116" s="91">
        <v>2</v>
      </c>
      <c r="K116" s="91"/>
      <c r="L116" s="91"/>
    </row>
    <row r="117" spans="1:12" ht="16.5">
      <c r="A117" s="76" t="s">
        <v>418</v>
      </c>
      <c r="B117" s="34" t="s">
        <v>372</v>
      </c>
      <c r="C117" s="54" t="s">
        <v>382</v>
      </c>
      <c r="D117" s="207"/>
      <c r="E117" s="3" t="s">
        <v>79</v>
      </c>
      <c r="F117" s="3" t="s">
        <v>83</v>
      </c>
      <c r="G117" s="3" t="s">
        <v>84</v>
      </c>
      <c r="H117" s="92"/>
      <c r="I117" s="138"/>
      <c r="J117" s="92">
        <v>1</v>
      </c>
      <c r="K117" s="54"/>
      <c r="L117" s="54"/>
    </row>
    <row r="118" spans="1:12" ht="16.5">
      <c r="A118" s="76" t="s">
        <v>418</v>
      </c>
      <c r="B118" s="34" t="s">
        <v>372</v>
      </c>
      <c r="C118" s="56" t="s">
        <v>285</v>
      </c>
      <c r="D118" s="207"/>
      <c r="E118" s="3" t="s">
        <v>79</v>
      </c>
      <c r="F118" s="3" t="s">
        <v>117</v>
      </c>
      <c r="G118" s="3" t="s">
        <v>118</v>
      </c>
      <c r="H118" s="91"/>
      <c r="I118" s="137"/>
      <c r="J118" s="91">
        <v>41</v>
      </c>
      <c r="K118" s="91"/>
      <c r="L118" s="91"/>
    </row>
    <row r="119" spans="1:12" ht="16.5">
      <c r="A119" s="76" t="s">
        <v>418</v>
      </c>
      <c r="B119" s="34" t="s">
        <v>372</v>
      </c>
      <c r="C119" s="54" t="s">
        <v>310</v>
      </c>
      <c r="D119" s="207"/>
      <c r="E119" s="3" t="s">
        <v>79</v>
      </c>
      <c r="F119" s="3" t="s">
        <v>117</v>
      </c>
      <c r="G119" s="3" t="s">
        <v>118</v>
      </c>
      <c r="H119" s="92"/>
      <c r="I119" s="138"/>
      <c r="J119" s="92">
        <v>1</v>
      </c>
      <c r="K119" s="54"/>
      <c r="L119" s="54"/>
    </row>
    <row r="120" spans="1:12" ht="16.5">
      <c r="A120" s="76" t="s">
        <v>418</v>
      </c>
      <c r="B120" s="34" t="s">
        <v>372</v>
      </c>
      <c r="C120" s="56" t="s">
        <v>383</v>
      </c>
      <c r="D120" s="207"/>
      <c r="E120" s="3" t="s">
        <v>79</v>
      </c>
      <c r="F120" s="3" t="s">
        <v>117</v>
      </c>
      <c r="G120" s="3" t="s">
        <v>118</v>
      </c>
      <c r="H120" s="91"/>
      <c r="I120" s="137"/>
      <c r="J120" s="91">
        <v>4</v>
      </c>
      <c r="K120" s="91"/>
      <c r="L120" s="91"/>
    </row>
    <row r="121" spans="1:12" ht="16.5">
      <c r="A121" s="76" t="s">
        <v>418</v>
      </c>
      <c r="B121" s="34" t="s">
        <v>372</v>
      </c>
      <c r="C121" s="54" t="s">
        <v>303</v>
      </c>
      <c r="D121" s="207"/>
      <c r="E121" s="3" t="s">
        <v>79</v>
      </c>
      <c r="F121" s="3" t="s">
        <v>83</v>
      </c>
      <c r="G121" s="3" t="s">
        <v>84</v>
      </c>
      <c r="H121" s="92"/>
      <c r="I121" s="138"/>
      <c r="J121" s="92">
        <v>1</v>
      </c>
      <c r="K121" s="54"/>
      <c r="L121" s="54"/>
    </row>
    <row r="122" spans="1:12" ht="16.5">
      <c r="A122" s="76" t="s">
        <v>418</v>
      </c>
      <c r="B122" s="34" t="s">
        <v>372</v>
      </c>
      <c r="C122" s="56" t="s">
        <v>169</v>
      </c>
      <c r="D122" s="207"/>
      <c r="E122" s="3" t="s">
        <v>79</v>
      </c>
      <c r="F122" s="3" t="s">
        <v>117</v>
      </c>
      <c r="G122" s="3" t="s">
        <v>118</v>
      </c>
      <c r="H122" s="91"/>
      <c r="I122" s="137"/>
      <c r="J122" s="91">
        <v>1</v>
      </c>
      <c r="K122" s="91"/>
      <c r="L122" s="91"/>
    </row>
    <row r="123" spans="1:12" ht="16.5">
      <c r="A123" s="76" t="s">
        <v>418</v>
      </c>
      <c r="B123" s="34" t="s">
        <v>372</v>
      </c>
      <c r="C123" s="54" t="s">
        <v>214</v>
      </c>
      <c r="D123" s="207"/>
      <c r="E123" s="3" t="s">
        <v>79</v>
      </c>
      <c r="F123" s="3" t="s">
        <v>117</v>
      </c>
      <c r="G123" s="3" t="s">
        <v>118</v>
      </c>
      <c r="H123" s="92"/>
      <c r="I123" s="138"/>
      <c r="J123" s="92">
        <v>1</v>
      </c>
      <c r="K123" s="54"/>
      <c r="L123" s="54"/>
    </row>
    <row r="124" spans="1:12" ht="16.5">
      <c r="A124" s="76" t="s">
        <v>418</v>
      </c>
      <c r="B124" s="34" t="s">
        <v>372</v>
      </c>
      <c r="C124" s="56" t="s">
        <v>384</v>
      </c>
      <c r="D124" s="207"/>
      <c r="E124" s="3" t="s">
        <v>79</v>
      </c>
      <c r="F124" s="3" t="s">
        <v>117</v>
      </c>
      <c r="G124" s="3" t="s">
        <v>118</v>
      </c>
      <c r="H124" s="91"/>
      <c r="I124" s="137"/>
      <c r="J124" s="91">
        <v>3</v>
      </c>
      <c r="K124" s="91"/>
      <c r="L124" s="91"/>
    </row>
    <row r="125" spans="1:12" ht="16.5">
      <c r="A125" s="76" t="s">
        <v>418</v>
      </c>
      <c r="B125" s="34" t="s">
        <v>372</v>
      </c>
      <c r="C125" s="54" t="s">
        <v>352</v>
      </c>
      <c r="D125" s="207"/>
      <c r="E125" s="3" t="s">
        <v>79</v>
      </c>
      <c r="F125" s="3" t="s">
        <v>117</v>
      </c>
      <c r="G125" s="3" t="s">
        <v>118</v>
      </c>
      <c r="H125" s="92"/>
      <c r="I125" s="138"/>
      <c r="J125" s="92">
        <v>2</v>
      </c>
      <c r="K125" s="54"/>
      <c r="L125" s="54"/>
    </row>
    <row r="126" spans="1:12" ht="16.5">
      <c r="A126" s="76" t="s">
        <v>418</v>
      </c>
      <c r="B126" s="34" t="s">
        <v>372</v>
      </c>
      <c r="C126" s="56" t="s">
        <v>385</v>
      </c>
      <c r="D126" s="207"/>
      <c r="E126" s="91" t="s">
        <v>79</v>
      </c>
      <c r="F126" s="91" t="s">
        <v>83</v>
      </c>
      <c r="G126" s="91" t="s">
        <v>84</v>
      </c>
      <c r="H126" s="91"/>
      <c r="I126" s="137"/>
      <c r="J126" s="91">
        <v>3</v>
      </c>
      <c r="K126" s="91"/>
      <c r="L126" s="91"/>
    </row>
    <row r="127" spans="1:12" ht="16.5">
      <c r="A127" s="76" t="s">
        <v>418</v>
      </c>
      <c r="B127" s="34" t="s">
        <v>372</v>
      </c>
      <c r="C127" s="54" t="s">
        <v>167</v>
      </c>
      <c r="D127" s="207"/>
      <c r="E127" s="91" t="s">
        <v>79</v>
      </c>
      <c r="F127" s="91" t="s">
        <v>83</v>
      </c>
      <c r="G127" s="91" t="s">
        <v>84</v>
      </c>
      <c r="H127" s="92"/>
      <c r="I127" s="138"/>
      <c r="J127" s="92">
        <v>16</v>
      </c>
      <c r="K127" s="54"/>
      <c r="L127" s="54"/>
    </row>
    <row r="128" spans="1:12" ht="16.5">
      <c r="A128" s="76" t="s">
        <v>418</v>
      </c>
      <c r="B128" s="34" t="s">
        <v>372</v>
      </c>
      <c r="C128" s="56" t="s">
        <v>130</v>
      </c>
      <c r="D128" s="207"/>
      <c r="E128" s="3" t="s">
        <v>79</v>
      </c>
      <c r="F128" s="3" t="s">
        <v>117</v>
      </c>
      <c r="G128" s="3" t="s">
        <v>118</v>
      </c>
      <c r="H128" s="91"/>
      <c r="I128" s="137"/>
      <c r="J128" s="91">
        <v>1</v>
      </c>
      <c r="K128" s="91"/>
      <c r="L128" s="91"/>
    </row>
    <row r="129" spans="1:12" ht="16.5">
      <c r="A129" s="76" t="s">
        <v>418</v>
      </c>
      <c r="B129" s="34" t="s">
        <v>372</v>
      </c>
      <c r="C129" s="54" t="s">
        <v>128</v>
      </c>
      <c r="D129" s="207"/>
      <c r="E129" s="3" t="s">
        <v>79</v>
      </c>
      <c r="F129" s="3" t="s">
        <v>117</v>
      </c>
      <c r="G129" s="3" t="s">
        <v>118</v>
      </c>
      <c r="H129" s="92"/>
      <c r="I129" s="138"/>
      <c r="J129" s="92">
        <v>4</v>
      </c>
      <c r="K129" s="54"/>
      <c r="L129" s="54"/>
    </row>
    <row r="130" spans="1:12" ht="16.5">
      <c r="A130" s="76" t="s">
        <v>418</v>
      </c>
      <c r="B130" s="34" t="s">
        <v>406</v>
      </c>
      <c r="C130" s="56" t="s">
        <v>170</v>
      </c>
      <c r="D130" s="207"/>
      <c r="E130" s="3" t="s">
        <v>79</v>
      </c>
      <c r="F130" s="3" t="s">
        <v>117</v>
      </c>
      <c r="G130" s="3" t="s">
        <v>171</v>
      </c>
      <c r="H130" s="91"/>
      <c r="I130" s="137"/>
      <c r="J130" s="91">
        <v>6</v>
      </c>
      <c r="K130" s="91"/>
      <c r="L130" s="91"/>
    </row>
    <row r="131" spans="1:12" ht="16.5">
      <c r="A131" s="76" t="s">
        <v>418</v>
      </c>
      <c r="B131" s="34" t="s">
        <v>406</v>
      </c>
      <c r="C131" s="54" t="s">
        <v>413</v>
      </c>
      <c r="D131" s="207"/>
      <c r="E131" s="3" t="s">
        <v>79</v>
      </c>
      <c r="F131" s="3" t="s">
        <v>117</v>
      </c>
      <c r="G131" s="3" t="s">
        <v>118</v>
      </c>
      <c r="H131" s="92"/>
      <c r="I131" s="138"/>
      <c r="J131" s="92">
        <v>2</v>
      </c>
      <c r="K131" s="54"/>
      <c r="L131" s="54"/>
    </row>
    <row r="132" spans="1:12" ht="16.5">
      <c r="A132" s="76" t="s">
        <v>418</v>
      </c>
      <c r="B132" s="34" t="s">
        <v>406</v>
      </c>
      <c r="C132" s="56" t="s">
        <v>215</v>
      </c>
      <c r="D132" s="207"/>
      <c r="E132" s="91" t="s">
        <v>79</v>
      </c>
      <c r="F132" s="91" t="s">
        <v>83</v>
      </c>
      <c r="G132" s="91" t="s">
        <v>84</v>
      </c>
      <c r="H132" s="91"/>
      <c r="I132" s="137"/>
      <c r="J132" s="91">
        <v>2</v>
      </c>
      <c r="K132" s="91"/>
      <c r="L132" s="91"/>
    </row>
    <row r="133" spans="1:12" ht="16.5">
      <c r="A133" s="76" t="s">
        <v>418</v>
      </c>
      <c r="B133" s="34" t="s">
        <v>406</v>
      </c>
      <c r="C133" s="54" t="s">
        <v>168</v>
      </c>
      <c r="D133" s="207"/>
      <c r="E133" s="3" t="s">
        <v>79</v>
      </c>
      <c r="F133" s="3" t="s">
        <v>117</v>
      </c>
      <c r="G133" s="3" t="s">
        <v>118</v>
      </c>
      <c r="H133" s="92"/>
      <c r="I133" s="138"/>
      <c r="J133" s="92">
        <v>2</v>
      </c>
      <c r="K133" s="54"/>
      <c r="L133" s="54"/>
    </row>
    <row r="134" spans="1:12" ht="16.5">
      <c r="A134" s="76" t="s">
        <v>418</v>
      </c>
      <c r="B134" s="34" t="s">
        <v>406</v>
      </c>
      <c r="C134" s="56" t="s">
        <v>414</v>
      </c>
      <c r="D134" s="207"/>
      <c r="E134" s="3" t="s">
        <v>79</v>
      </c>
      <c r="F134" s="3" t="s">
        <v>117</v>
      </c>
      <c r="G134" s="3" t="s">
        <v>118</v>
      </c>
      <c r="H134" s="91"/>
      <c r="I134" s="137"/>
      <c r="J134" s="91">
        <v>1</v>
      </c>
      <c r="K134" s="91"/>
      <c r="L134" s="91"/>
    </row>
    <row r="135" spans="1:12" ht="16.5">
      <c r="A135" s="76" t="s">
        <v>418</v>
      </c>
      <c r="B135" s="34" t="s">
        <v>406</v>
      </c>
      <c r="C135" s="54" t="s">
        <v>354</v>
      </c>
      <c r="D135" s="207"/>
      <c r="E135" s="91" t="s">
        <v>79</v>
      </c>
      <c r="F135" s="91" t="s">
        <v>83</v>
      </c>
      <c r="G135" s="91" t="s">
        <v>84</v>
      </c>
      <c r="H135" s="92"/>
      <c r="I135" s="138"/>
      <c r="J135" s="92">
        <v>1</v>
      </c>
      <c r="K135" s="54"/>
      <c r="L135" s="54"/>
    </row>
    <row r="136" spans="1:12" ht="16.5">
      <c r="A136" s="76" t="s">
        <v>418</v>
      </c>
      <c r="B136" s="34" t="s">
        <v>406</v>
      </c>
      <c r="C136" s="56" t="s">
        <v>384</v>
      </c>
      <c r="D136" s="207"/>
      <c r="E136" s="3" t="s">
        <v>79</v>
      </c>
      <c r="F136" s="3" t="s">
        <v>117</v>
      </c>
      <c r="G136" s="3" t="s">
        <v>118</v>
      </c>
      <c r="H136" s="91"/>
      <c r="I136" s="137"/>
      <c r="J136" s="91">
        <v>1</v>
      </c>
      <c r="K136" s="91"/>
      <c r="L136" s="91"/>
    </row>
    <row r="137" spans="1:12" ht="16.5">
      <c r="A137" s="76" t="s">
        <v>418</v>
      </c>
      <c r="B137" s="34" t="s">
        <v>406</v>
      </c>
      <c r="C137" s="54" t="s">
        <v>286</v>
      </c>
      <c r="D137" s="207"/>
      <c r="E137" s="3" t="s">
        <v>79</v>
      </c>
      <c r="F137" s="3" t="s">
        <v>117</v>
      </c>
      <c r="G137" s="3" t="s">
        <v>118</v>
      </c>
      <c r="H137" s="92"/>
      <c r="I137" s="138"/>
      <c r="J137" s="92">
        <v>1</v>
      </c>
      <c r="K137" s="54"/>
      <c r="L137" s="54"/>
    </row>
    <row r="138" spans="1:12" ht="16.5">
      <c r="A138" s="76" t="s">
        <v>418</v>
      </c>
      <c r="B138" s="34" t="s">
        <v>406</v>
      </c>
      <c r="C138" s="56" t="s">
        <v>167</v>
      </c>
      <c r="D138" s="207"/>
      <c r="E138" s="91" t="s">
        <v>79</v>
      </c>
      <c r="F138" s="91" t="s">
        <v>83</v>
      </c>
      <c r="G138" s="91" t="s">
        <v>84</v>
      </c>
      <c r="H138" s="91"/>
      <c r="I138" s="137"/>
      <c r="J138" s="91">
        <v>2</v>
      </c>
      <c r="K138" s="91"/>
      <c r="L138" s="91"/>
    </row>
    <row r="139" spans="1:12" ht="16.5">
      <c r="A139" s="76" t="s">
        <v>418</v>
      </c>
      <c r="B139" s="34" t="s">
        <v>406</v>
      </c>
      <c r="C139" s="54" t="s">
        <v>415</v>
      </c>
      <c r="D139" s="207"/>
      <c r="E139" s="3" t="s">
        <v>79</v>
      </c>
      <c r="F139" s="3" t="s">
        <v>117</v>
      </c>
      <c r="G139" s="3" t="s">
        <v>118</v>
      </c>
      <c r="H139" s="92"/>
      <c r="I139" s="138"/>
      <c r="J139" s="92">
        <v>2</v>
      </c>
      <c r="K139" s="54"/>
      <c r="L139" s="54"/>
    </row>
    <row r="140" spans="1:12" s="129" customFormat="1">
      <c r="A140" s="76" t="s">
        <v>470</v>
      </c>
      <c r="B140" s="34" t="s">
        <v>467</v>
      </c>
      <c r="C140" s="3"/>
      <c r="D140" s="209" t="s">
        <v>471</v>
      </c>
      <c r="E140" s="3"/>
      <c r="F140" s="3" t="s">
        <v>83</v>
      </c>
      <c r="G140" s="3" t="s">
        <v>84</v>
      </c>
      <c r="H140" s="3"/>
      <c r="I140" s="75">
        <v>0</v>
      </c>
      <c r="J140" s="13">
        <v>2</v>
      </c>
      <c r="K140" s="3"/>
      <c r="L140" s="3"/>
    </row>
    <row r="141" spans="1:12" s="129" customFormat="1">
      <c r="A141" s="76" t="s">
        <v>470</v>
      </c>
      <c r="B141" s="34" t="s">
        <v>467</v>
      </c>
      <c r="C141" s="3"/>
      <c r="D141" s="209" t="s">
        <v>472</v>
      </c>
      <c r="E141" s="3"/>
      <c r="F141" s="3" t="s">
        <v>83</v>
      </c>
      <c r="G141" s="3" t="s">
        <v>84</v>
      </c>
      <c r="H141" s="3"/>
      <c r="I141" s="75">
        <v>2</v>
      </c>
      <c r="J141" s="13">
        <v>1</v>
      </c>
      <c r="K141" s="3"/>
      <c r="L141" s="3"/>
    </row>
    <row r="142" spans="1:12" s="129" customFormat="1">
      <c r="A142" s="76" t="s">
        <v>469</v>
      </c>
      <c r="B142" s="34" t="s">
        <v>467</v>
      </c>
      <c r="C142" s="3"/>
      <c r="D142" s="209" t="s">
        <v>473</v>
      </c>
      <c r="E142" s="3"/>
      <c r="F142" s="3" t="s">
        <v>83</v>
      </c>
      <c r="G142" s="3" t="s">
        <v>84</v>
      </c>
      <c r="H142" s="3"/>
      <c r="I142" s="75">
        <v>0</v>
      </c>
      <c r="J142" s="13">
        <v>1</v>
      </c>
      <c r="K142" s="3"/>
      <c r="L142" s="3"/>
    </row>
    <row r="143" spans="1:12" s="129" customFormat="1">
      <c r="A143" s="76" t="s">
        <v>469</v>
      </c>
      <c r="B143" s="34" t="s">
        <v>467</v>
      </c>
      <c r="C143" s="3"/>
      <c r="D143" s="209" t="s">
        <v>474</v>
      </c>
      <c r="E143" s="3"/>
      <c r="F143" s="3" t="s">
        <v>83</v>
      </c>
      <c r="G143" s="3" t="s">
        <v>84</v>
      </c>
      <c r="H143" s="3"/>
      <c r="I143" s="75">
        <v>0</v>
      </c>
      <c r="J143" s="13">
        <v>2</v>
      </c>
      <c r="K143" s="3"/>
      <c r="L143" s="3"/>
    </row>
    <row r="144" spans="1:12" s="129" customFormat="1">
      <c r="A144" s="76" t="s">
        <v>469</v>
      </c>
      <c r="B144" s="34" t="s">
        <v>467</v>
      </c>
      <c r="C144" s="3"/>
      <c r="D144" s="209" t="s">
        <v>475</v>
      </c>
      <c r="E144" s="3"/>
      <c r="F144" s="3" t="s">
        <v>83</v>
      </c>
      <c r="G144" s="3" t="s">
        <v>84</v>
      </c>
      <c r="H144" s="3"/>
      <c r="I144" s="75">
        <v>0</v>
      </c>
      <c r="J144" s="13">
        <v>2</v>
      </c>
      <c r="K144" s="3"/>
      <c r="L144" s="3"/>
    </row>
    <row r="145" spans="1:12" s="129" customFormat="1">
      <c r="A145" s="76" t="s">
        <v>469</v>
      </c>
      <c r="B145" s="34" t="s">
        <v>467</v>
      </c>
      <c r="C145" s="3"/>
      <c r="D145" s="209" t="s">
        <v>476</v>
      </c>
      <c r="E145" s="3"/>
      <c r="F145" s="3" t="s">
        <v>83</v>
      </c>
      <c r="G145" s="3" t="s">
        <v>84</v>
      </c>
      <c r="H145" s="3"/>
      <c r="I145" s="75">
        <v>120</v>
      </c>
      <c r="J145" s="13">
        <v>4</v>
      </c>
      <c r="K145" s="3"/>
      <c r="L145" s="3"/>
    </row>
    <row r="146" spans="1:12" s="129" customFormat="1">
      <c r="A146" s="76" t="s">
        <v>469</v>
      </c>
      <c r="B146" s="34" t="s">
        <v>467</v>
      </c>
      <c r="C146" s="3"/>
      <c r="D146" s="209" t="s">
        <v>477</v>
      </c>
      <c r="E146" s="3"/>
      <c r="F146" s="3" t="s">
        <v>83</v>
      </c>
      <c r="G146" s="3" t="s">
        <v>84</v>
      </c>
      <c r="H146" s="3"/>
      <c r="I146" s="75">
        <v>3</v>
      </c>
      <c r="J146" s="13">
        <v>2</v>
      </c>
      <c r="K146" s="3"/>
      <c r="L146" s="3"/>
    </row>
    <row r="147" spans="1:12" s="129" customFormat="1">
      <c r="A147" s="76" t="s">
        <v>469</v>
      </c>
      <c r="B147" s="34" t="s">
        <v>467</v>
      </c>
      <c r="C147" s="3"/>
      <c r="D147" s="209" t="s">
        <v>478</v>
      </c>
      <c r="E147" s="3"/>
      <c r="F147" s="3" t="s">
        <v>83</v>
      </c>
      <c r="G147" s="3" t="s">
        <v>84</v>
      </c>
      <c r="H147" s="3"/>
      <c r="I147" s="75">
        <v>1</v>
      </c>
      <c r="J147" s="13">
        <v>1</v>
      </c>
      <c r="K147" s="3"/>
      <c r="L147" s="3"/>
    </row>
    <row r="148" spans="1:12" s="129" customFormat="1">
      <c r="A148" s="76" t="s">
        <v>469</v>
      </c>
      <c r="B148" s="34" t="s">
        <v>467</v>
      </c>
      <c r="C148" s="3"/>
      <c r="D148" s="209" t="s">
        <v>479</v>
      </c>
      <c r="E148" s="3"/>
      <c r="F148" s="3" t="s">
        <v>83</v>
      </c>
      <c r="G148" s="3" t="s">
        <v>84</v>
      </c>
      <c r="H148" s="3"/>
      <c r="I148" s="75">
        <v>0</v>
      </c>
      <c r="J148" s="13">
        <v>2</v>
      </c>
      <c r="K148" s="3"/>
      <c r="L148" s="3"/>
    </row>
    <row r="149" spans="1:12" s="129" customFormat="1">
      <c r="A149" s="76" t="s">
        <v>469</v>
      </c>
      <c r="B149" s="34" t="s">
        <v>467</v>
      </c>
      <c r="C149" s="3"/>
      <c r="D149" s="209" t="s">
        <v>487</v>
      </c>
      <c r="E149" s="3"/>
      <c r="F149" s="3" t="s">
        <v>83</v>
      </c>
      <c r="G149" s="3" t="s">
        <v>84</v>
      </c>
      <c r="H149" s="3"/>
      <c r="I149" s="75">
        <v>14</v>
      </c>
      <c r="J149" s="13">
        <v>10</v>
      </c>
      <c r="K149" s="3"/>
      <c r="L149" s="3"/>
    </row>
    <row r="150" spans="1:12" s="129" customFormat="1">
      <c r="A150" s="76" t="s">
        <v>469</v>
      </c>
      <c r="B150" s="34" t="s">
        <v>467</v>
      </c>
      <c r="C150" s="3"/>
      <c r="D150" s="209" t="s">
        <v>488</v>
      </c>
      <c r="E150" s="3"/>
      <c r="F150" s="3" t="s">
        <v>83</v>
      </c>
      <c r="G150" s="3" t="s">
        <v>84</v>
      </c>
      <c r="H150" s="3"/>
      <c r="I150" s="75">
        <v>3</v>
      </c>
      <c r="J150" s="13">
        <v>2</v>
      </c>
      <c r="K150" s="3"/>
      <c r="L150" s="3"/>
    </row>
    <row r="151" spans="1:12" s="129" customFormat="1">
      <c r="A151" s="76" t="s">
        <v>469</v>
      </c>
      <c r="B151" s="34" t="s">
        <v>467</v>
      </c>
      <c r="C151" s="3"/>
      <c r="D151" s="209" t="s">
        <v>489</v>
      </c>
      <c r="E151" s="3"/>
      <c r="F151" s="3" t="s">
        <v>83</v>
      </c>
      <c r="G151" s="3" t="s">
        <v>84</v>
      </c>
      <c r="H151" s="3"/>
      <c r="I151" s="75">
        <v>6</v>
      </c>
      <c r="J151" s="13">
        <v>2</v>
      </c>
      <c r="K151" s="3"/>
      <c r="L151" s="3"/>
    </row>
    <row r="152" spans="1:12" s="129" customFormat="1">
      <c r="A152" s="76" t="s">
        <v>469</v>
      </c>
      <c r="B152" s="34" t="s">
        <v>467</v>
      </c>
      <c r="C152" s="3"/>
      <c r="D152" s="209" t="s">
        <v>490</v>
      </c>
      <c r="E152" s="3"/>
      <c r="F152" s="3" t="s">
        <v>83</v>
      </c>
      <c r="G152" s="3" t="s">
        <v>84</v>
      </c>
      <c r="H152" s="3"/>
      <c r="I152" s="75">
        <v>6</v>
      </c>
      <c r="J152" s="13">
        <v>1</v>
      </c>
      <c r="K152" s="3"/>
      <c r="L152" s="3"/>
    </row>
    <row r="153" spans="1:12" s="129" customFormat="1">
      <c r="A153" s="76" t="s">
        <v>469</v>
      </c>
      <c r="B153" s="34" t="s">
        <v>467</v>
      </c>
      <c r="C153" s="3"/>
      <c r="D153" s="209" t="s">
        <v>491</v>
      </c>
      <c r="E153" s="3"/>
      <c r="F153" s="3" t="s">
        <v>83</v>
      </c>
      <c r="G153" s="3" t="s">
        <v>84</v>
      </c>
      <c r="H153" s="3"/>
      <c r="I153" s="75">
        <v>3</v>
      </c>
      <c r="J153" s="13">
        <v>2</v>
      </c>
      <c r="K153" s="3"/>
      <c r="L153" s="3"/>
    </row>
    <row r="154" spans="1:12" s="129" customFormat="1">
      <c r="A154" s="76" t="s">
        <v>469</v>
      </c>
      <c r="B154" s="34" t="s">
        <v>467</v>
      </c>
      <c r="C154" s="3"/>
      <c r="D154" s="209" t="s">
        <v>492</v>
      </c>
      <c r="E154" s="3"/>
      <c r="F154" s="3" t="s">
        <v>83</v>
      </c>
      <c r="G154" s="3" t="s">
        <v>84</v>
      </c>
      <c r="H154" s="3"/>
      <c r="I154" s="75"/>
      <c r="J154" s="13">
        <v>2</v>
      </c>
      <c r="K154" s="3"/>
      <c r="L154" s="3"/>
    </row>
    <row r="155" spans="1:12" s="129" customFormat="1">
      <c r="A155" s="76" t="s">
        <v>469</v>
      </c>
      <c r="B155" s="34" t="s">
        <v>467</v>
      </c>
      <c r="C155" s="3"/>
      <c r="D155" s="209" t="s">
        <v>493</v>
      </c>
      <c r="E155" s="3"/>
      <c r="F155" s="3" t="s">
        <v>83</v>
      </c>
      <c r="G155" s="3" t="s">
        <v>84</v>
      </c>
      <c r="H155" s="3"/>
      <c r="I155" s="75">
        <v>2</v>
      </c>
      <c r="J155" s="13">
        <v>2</v>
      </c>
      <c r="K155" s="3"/>
      <c r="L155" s="3"/>
    </row>
    <row r="156" spans="1:12" s="129" customFormat="1">
      <c r="A156" s="76" t="s">
        <v>469</v>
      </c>
      <c r="B156" s="34" t="s">
        <v>467</v>
      </c>
      <c r="C156" s="3"/>
      <c r="D156" s="209" t="s">
        <v>494</v>
      </c>
      <c r="E156" s="3"/>
      <c r="F156" s="3" t="s">
        <v>83</v>
      </c>
      <c r="G156" s="3" t="s">
        <v>84</v>
      </c>
      <c r="H156" s="3"/>
      <c r="I156" s="75">
        <v>0</v>
      </c>
      <c r="J156" s="13">
        <v>1</v>
      </c>
      <c r="K156" s="3"/>
      <c r="L156" s="3"/>
    </row>
    <row r="157" spans="1:12" s="129" customFormat="1">
      <c r="A157" s="76" t="s">
        <v>469</v>
      </c>
      <c r="B157" s="34" t="s">
        <v>467</v>
      </c>
      <c r="C157" s="3"/>
      <c r="D157" s="209" t="s">
        <v>496</v>
      </c>
      <c r="E157" s="3"/>
      <c r="F157" s="3" t="s">
        <v>83</v>
      </c>
      <c r="G157" s="3" t="s">
        <v>84</v>
      </c>
      <c r="H157" s="3"/>
      <c r="I157" s="75">
        <v>179</v>
      </c>
      <c r="J157" s="13">
        <v>26</v>
      </c>
      <c r="K157" s="3"/>
      <c r="L157" s="3"/>
    </row>
    <row r="158" spans="1:12" s="129" customFormat="1">
      <c r="A158" s="76" t="s">
        <v>469</v>
      </c>
      <c r="B158" s="34" t="s">
        <v>467</v>
      </c>
      <c r="C158" s="3"/>
      <c r="D158" s="209" t="s">
        <v>497</v>
      </c>
      <c r="E158" s="3"/>
      <c r="F158" s="3" t="s">
        <v>83</v>
      </c>
      <c r="G158" s="3" t="s">
        <v>345</v>
      </c>
      <c r="H158" s="3" t="s">
        <v>563</v>
      </c>
      <c r="I158" s="75">
        <v>81</v>
      </c>
      <c r="J158" s="13">
        <v>2</v>
      </c>
      <c r="K158" s="3"/>
      <c r="L158" s="3"/>
    </row>
    <row r="159" spans="1:12" s="129" customFormat="1">
      <c r="A159" s="76" t="s">
        <v>469</v>
      </c>
      <c r="B159" s="34" t="s">
        <v>468</v>
      </c>
      <c r="C159" s="3"/>
      <c r="D159" s="209" t="s">
        <v>507</v>
      </c>
      <c r="E159" s="3"/>
      <c r="F159" s="3" t="s">
        <v>547</v>
      </c>
      <c r="G159" s="3" t="s">
        <v>548</v>
      </c>
      <c r="H159" s="3" t="s">
        <v>561</v>
      </c>
      <c r="I159" s="75">
        <v>27</v>
      </c>
      <c r="J159" s="13">
        <v>3</v>
      </c>
      <c r="K159" s="3"/>
      <c r="L159" s="3"/>
    </row>
    <row r="160" spans="1:12" s="129" customFormat="1">
      <c r="A160" s="76" t="s">
        <v>469</v>
      </c>
      <c r="B160" s="34" t="s">
        <v>468</v>
      </c>
      <c r="C160" s="3"/>
      <c r="D160" s="209" t="s">
        <v>508</v>
      </c>
      <c r="E160" s="3"/>
      <c r="F160" s="3" t="s">
        <v>547</v>
      </c>
      <c r="G160" s="3" t="s">
        <v>548</v>
      </c>
      <c r="H160" s="3" t="s">
        <v>561</v>
      </c>
      <c r="I160" s="75">
        <v>30</v>
      </c>
      <c r="J160" s="13">
        <v>10</v>
      </c>
      <c r="K160" s="3"/>
      <c r="L160" s="3"/>
    </row>
    <row r="161" spans="1:12" s="129" customFormat="1">
      <c r="A161" s="76" t="s">
        <v>469</v>
      </c>
      <c r="B161" s="34" t="s">
        <v>468</v>
      </c>
      <c r="C161" s="3"/>
      <c r="D161" s="209" t="s">
        <v>509</v>
      </c>
      <c r="E161" s="3"/>
      <c r="F161" s="3" t="s">
        <v>83</v>
      </c>
      <c r="G161" s="3" t="s">
        <v>84</v>
      </c>
      <c r="H161" s="3"/>
      <c r="I161" s="75">
        <v>0</v>
      </c>
      <c r="J161" s="13">
        <v>1</v>
      </c>
      <c r="K161" s="3"/>
      <c r="L161" s="3"/>
    </row>
    <row r="162" spans="1:12" s="129" customFormat="1">
      <c r="A162" s="76" t="s">
        <v>469</v>
      </c>
      <c r="B162" s="34" t="s">
        <v>468</v>
      </c>
      <c r="C162" s="3"/>
      <c r="D162" s="209" t="s">
        <v>510</v>
      </c>
      <c r="E162" s="3"/>
      <c r="F162" s="3" t="s">
        <v>83</v>
      </c>
      <c r="G162" s="3" t="s">
        <v>84</v>
      </c>
      <c r="H162" s="3"/>
      <c r="I162" s="75">
        <v>0</v>
      </c>
      <c r="J162" s="13">
        <v>2</v>
      </c>
      <c r="K162" s="3"/>
      <c r="L162" s="3"/>
    </row>
    <row r="163" spans="1:12" s="129" customFormat="1">
      <c r="A163" s="76" t="s">
        <v>469</v>
      </c>
      <c r="B163" s="34" t="s">
        <v>468</v>
      </c>
      <c r="C163" s="3"/>
      <c r="D163" s="209" t="s">
        <v>511</v>
      </c>
      <c r="E163" s="3"/>
      <c r="F163" s="3" t="s">
        <v>83</v>
      </c>
      <c r="G163" s="3" t="s">
        <v>84</v>
      </c>
      <c r="H163" s="3"/>
      <c r="I163" s="75">
        <v>3</v>
      </c>
      <c r="J163" s="13">
        <v>8</v>
      </c>
      <c r="K163" s="3"/>
      <c r="L163" s="3"/>
    </row>
    <row r="164" spans="1:12" s="129" customFormat="1">
      <c r="A164" s="76" t="s">
        <v>469</v>
      </c>
      <c r="B164" s="34" t="s">
        <v>468</v>
      </c>
      <c r="C164" s="3"/>
      <c r="D164" s="209" t="s">
        <v>512</v>
      </c>
      <c r="E164" s="3"/>
      <c r="F164" s="3" t="s">
        <v>83</v>
      </c>
      <c r="G164" s="3" t="s">
        <v>84</v>
      </c>
      <c r="H164" s="3"/>
      <c r="I164" s="75">
        <v>1</v>
      </c>
      <c r="J164" s="13">
        <v>1</v>
      </c>
      <c r="K164" s="3"/>
      <c r="L164" s="3"/>
    </row>
    <row r="165" spans="1:12" s="129" customFormat="1">
      <c r="A165" s="76" t="s">
        <v>469</v>
      </c>
      <c r="B165" s="34" t="s">
        <v>468</v>
      </c>
      <c r="C165" s="3"/>
      <c r="D165" s="209" t="s">
        <v>513</v>
      </c>
      <c r="E165" s="3"/>
      <c r="F165" s="3" t="s">
        <v>83</v>
      </c>
      <c r="G165" s="3" t="s">
        <v>84</v>
      </c>
      <c r="H165" s="3"/>
      <c r="I165" s="75">
        <v>3</v>
      </c>
      <c r="J165" s="13">
        <v>1</v>
      </c>
      <c r="K165" s="3"/>
      <c r="L165" s="3"/>
    </row>
    <row r="166" spans="1:12" s="129" customFormat="1">
      <c r="A166" s="76" t="s">
        <v>469</v>
      </c>
      <c r="B166" s="34" t="s">
        <v>468</v>
      </c>
      <c r="C166" s="3"/>
      <c r="D166" s="209" t="s">
        <v>514</v>
      </c>
      <c r="E166" s="3"/>
      <c r="F166" s="3" t="s">
        <v>83</v>
      </c>
      <c r="G166" s="3" t="s">
        <v>84</v>
      </c>
      <c r="H166" s="3"/>
      <c r="I166" s="75">
        <v>2</v>
      </c>
      <c r="J166" s="13">
        <v>2</v>
      </c>
      <c r="K166" s="3"/>
      <c r="L166" s="3"/>
    </row>
    <row r="167" spans="1:12" s="129" customFormat="1">
      <c r="A167" s="76" t="s">
        <v>469</v>
      </c>
      <c r="B167" s="34" t="s">
        <v>468</v>
      </c>
      <c r="C167" s="3"/>
      <c r="D167" s="209" t="s">
        <v>515</v>
      </c>
      <c r="E167" s="3"/>
      <c r="F167" s="3" t="s">
        <v>83</v>
      </c>
      <c r="G167" s="3" t="s">
        <v>84</v>
      </c>
      <c r="H167" s="3"/>
      <c r="I167" s="75">
        <v>3</v>
      </c>
      <c r="J167" s="13">
        <v>2</v>
      </c>
      <c r="K167" s="3"/>
      <c r="L167" s="3"/>
    </row>
    <row r="168" spans="1:12" s="129" customFormat="1">
      <c r="A168" s="76" t="s">
        <v>469</v>
      </c>
      <c r="B168" s="34" t="s">
        <v>468</v>
      </c>
      <c r="C168" s="3"/>
      <c r="D168" s="209" t="s">
        <v>516</v>
      </c>
      <c r="E168" s="3"/>
      <c r="F168" s="3" t="s">
        <v>83</v>
      </c>
      <c r="G168" s="3" t="s">
        <v>84</v>
      </c>
      <c r="H168" s="3"/>
      <c r="I168" s="75">
        <v>3</v>
      </c>
      <c r="J168" s="13">
        <v>2</v>
      </c>
      <c r="K168" s="3"/>
      <c r="L168" s="3"/>
    </row>
    <row r="169" spans="1:12" s="129" customFormat="1">
      <c r="A169" s="76" t="s">
        <v>469</v>
      </c>
      <c r="B169" s="34" t="s">
        <v>468</v>
      </c>
      <c r="C169" s="3"/>
      <c r="D169" s="209" t="s">
        <v>517</v>
      </c>
      <c r="E169" s="3"/>
      <c r="F169" s="3" t="s">
        <v>83</v>
      </c>
      <c r="G169" s="3" t="s">
        <v>84</v>
      </c>
      <c r="H169" s="3"/>
      <c r="I169" s="75">
        <v>9</v>
      </c>
      <c r="J169" s="13">
        <v>2</v>
      </c>
      <c r="K169" s="3"/>
      <c r="L169" s="3"/>
    </row>
    <row r="170" spans="1:12" s="129" customFormat="1">
      <c r="A170" s="76" t="s">
        <v>469</v>
      </c>
      <c r="B170" s="34" t="s">
        <v>468</v>
      </c>
      <c r="C170" s="3"/>
      <c r="D170" s="209" t="s">
        <v>518</v>
      </c>
      <c r="E170" s="3"/>
      <c r="F170" s="3" t="s">
        <v>83</v>
      </c>
      <c r="G170" s="3" t="s">
        <v>84</v>
      </c>
      <c r="H170" s="3"/>
      <c r="I170" s="75">
        <v>6</v>
      </c>
      <c r="J170" s="13">
        <v>1</v>
      </c>
      <c r="K170" s="3"/>
      <c r="L170" s="3"/>
    </row>
    <row r="171" spans="1:12" s="129" customFormat="1">
      <c r="A171" s="76" t="s">
        <v>469</v>
      </c>
      <c r="B171" s="34" t="s">
        <v>468</v>
      </c>
      <c r="C171" s="3"/>
      <c r="D171" s="209" t="s">
        <v>519</v>
      </c>
      <c r="E171" s="3"/>
      <c r="F171" s="3" t="s">
        <v>83</v>
      </c>
      <c r="G171" s="3" t="s">
        <v>84</v>
      </c>
      <c r="H171" s="3"/>
      <c r="I171" s="75">
        <v>0</v>
      </c>
      <c r="J171" s="13">
        <v>1</v>
      </c>
      <c r="K171" s="3"/>
      <c r="L171" s="3"/>
    </row>
    <row r="172" spans="1:12" s="129" customFormat="1">
      <c r="A172" s="76" t="s">
        <v>469</v>
      </c>
      <c r="B172" s="34" t="s">
        <v>468</v>
      </c>
      <c r="C172" s="3"/>
      <c r="D172" s="209" t="s">
        <v>520</v>
      </c>
      <c r="E172" s="3"/>
      <c r="F172" s="3" t="s">
        <v>83</v>
      </c>
      <c r="G172" s="3" t="s">
        <v>84</v>
      </c>
      <c r="H172" s="3"/>
      <c r="I172" s="75">
        <v>0</v>
      </c>
      <c r="J172" s="13">
        <v>1</v>
      </c>
      <c r="K172" s="3"/>
      <c r="L172" s="3"/>
    </row>
    <row r="173" spans="1:12" s="129" customFormat="1">
      <c r="A173" s="76" t="s">
        <v>469</v>
      </c>
      <c r="B173" s="34" t="s">
        <v>468</v>
      </c>
      <c r="C173" s="3"/>
      <c r="D173" s="209" t="s">
        <v>521</v>
      </c>
      <c r="E173" s="3"/>
      <c r="F173" s="3" t="s">
        <v>83</v>
      </c>
      <c r="G173" s="3" t="s">
        <v>84</v>
      </c>
      <c r="H173" s="3"/>
      <c r="I173" s="75">
        <v>215</v>
      </c>
      <c r="J173" s="13">
        <v>1</v>
      </c>
      <c r="K173" s="3"/>
      <c r="L173" s="3"/>
    </row>
    <row r="174" spans="1:12" s="87" customFormat="1" ht="16.5">
      <c r="A174" s="13" t="s">
        <v>32</v>
      </c>
      <c r="B174" s="14" t="s">
        <v>20</v>
      </c>
      <c r="C174" s="20"/>
      <c r="D174" s="23" t="s">
        <v>22</v>
      </c>
      <c r="E174" s="16"/>
      <c r="F174" s="16"/>
      <c r="G174" s="16"/>
      <c r="H174" s="16"/>
      <c r="I174" s="14">
        <v>145</v>
      </c>
      <c r="J174" s="14">
        <v>42</v>
      </c>
      <c r="K174" s="17"/>
      <c r="L174" s="21"/>
    </row>
    <row r="175" spans="1:12" s="87" customFormat="1">
      <c r="A175" s="25" t="s">
        <v>31</v>
      </c>
      <c r="B175" s="26" t="s">
        <v>35</v>
      </c>
      <c r="C175" s="27"/>
      <c r="D175" s="210" t="s">
        <v>40</v>
      </c>
      <c r="E175" s="28"/>
      <c r="F175" s="28"/>
      <c r="G175" s="28"/>
      <c r="H175" s="28"/>
      <c r="I175" s="33">
        <v>35</v>
      </c>
      <c r="J175" s="26">
        <v>4</v>
      </c>
      <c r="K175" s="25"/>
      <c r="L175" s="25"/>
    </row>
    <row r="176" spans="1:12" s="87" customFormat="1">
      <c r="A176" s="17" t="s">
        <v>31</v>
      </c>
      <c r="B176" s="34" t="s">
        <v>42</v>
      </c>
      <c r="C176" s="35"/>
      <c r="D176" s="211" t="s">
        <v>40</v>
      </c>
      <c r="E176" s="36"/>
      <c r="F176" s="36"/>
      <c r="G176" s="36"/>
      <c r="H176" s="36"/>
      <c r="I176" s="147">
        <v>275</v>
      </c>
      <c r="J176" s="34">
        <f>6+25+30+27</f>
        <v>88</v>
      </c>
      <c r="K176" s="17"/>
      <c r="L176" s="17"/>
    </row>
    <row r="177" spans="1:12" s="129" customFormat="1">
      <c r="A177" s="17" t="s">
        <v>31</v>
      </c>
      <c r="B177" s="34" t="s">
        <v>41</v>
      </c>
      <c r="C177" s="4"/>
      <c r="D177" s="82" t="s">
        <v>49</v>
      </c>
      <c r="E177" s="5"/>
      <c r="F177" s="5"/>
      <c r="G177" s="5"/>
      <c r="H177" s="5"/>
      <c r="I177" s="12">
        <v>90</v>
      </c>
      <c r="J177" s="12"/>
      <c r="K177" s="3"/>
      <c r="L177" s="3"/>
    </row>
    <row r="178" spans="1:12" s="129" customFormat="1">
      <c r="A178" s="43" t="s">
        <v>31</v>
      </c>
      <c r="B178" s="45" t="s">
        <v>51</v>
      </c>
      <c r="C178" s="46"/>
      <c r="D178" s="212" t="s">
        <v>40</v>
      </c>
      <c r="E178" s="48"/>
      <c r="F178" s="48"/>
      <c r="G178" s="48"/>
      <c r="H178" s="48"/>
      <c r="I178" s="49">
        <v>445</v>
      </c>
      <c r="J178" s="49">
        <v>29</v>
      </c>
      <c r="K178" s="44"/>
      <c r="L178" s="44"/>
    </row>
    <row r="179" spans="1:12" s="19" customFormat="1" ht="16.5">
      <c r="A179" s="3" t="s">
        <v>744</v>
      </c>
      <c r="B179" s="12" t="s">
        <v>606</v>
      </c>
      <c r="C179" s="7"/>
      <c r="D179" s="82" t="s">
        <v>573</v>
      </c>
      <c r="E179" s="7"/>
      <c r="F179" s="7"/>
      <c r="G179" s="12"/>
      <c r="H179" s="12"/>
      <c r="I179" s="185">
        <v>555</v>
      </c>
      <c r="J179" s="12">
        <v>127</v>
      </c>
      <c r="K179" s="17"/>
      <c r="L179" s="78"/>
    </row>
    <row r="180" spans="1:12" s="19" customFormat="1" ht="16.5">
      <c r="A180" s="3" t="s">
        <v>744</v>
      </c>
      <c r="B180" s="12" t="s">
        <v>606</v>
      </c>
      <c r="C180" s="7"/>
      <c r="D180" s="82" t="s">
        <v>574</v>
      </c>
      <c r="E180" s="7"/>
      <c r="F180" s="7"/>
      <c r="G180" s="12"/>
      <c r="H180" s="12"/>
      <c r="I180" s="186"/>
      <c r="J180" s="12">
        <v>12</v>
      </c>
      <c r="K180" s="17"/>
      <c r="L180" s="78"/>
    </row>
    <row r="181" spans="1:12" s="19" customFormat="1" ht="16.5">
      <c r="A181" s="3" t="s">
        <v>744</v>
      </c>
      <c r="B181" s="12" t="s">
        <v>606</v>
      </c>
      <c r="C181" s="7"/>
      <c r="D181" s="82" t="s">
        <v>629</v>
      </c>
      <c r="E181" s="7"/>
      <c r="F181" s="7"/>
      <c r="G181" s="12"/>
      <c r="H181" s="12"/>
      <c r="I181" s="187"/>
      <c r="J181" s="12">
        <v>3</v>
      </c>
      <c r="K181" s="17"/>
      <c r="L181" s="78"/>
    </row>
    <row r="182" spans="1:12" s="19" customFormat="1" ht="16.5">
      <c r="A182" s="3" t="s">
        <v>744</v>
      </c>
      <c r="B182" s="12" t="s">
        <v>606</v>
      </c>
      <c r="C182" s="7"/>
      <c r="D182" s="82" t="s">
        <v>630</v>
      </c>
      <c r="E182" s="7"/>
      <c r="F182" s="7"/>
      <c r="G182" s="12"/>
      <c r="H182" s="12"/>
      <c r="I182" s="185">
        <v>1285</v>
      </c>
      <c r="J182" s="12">
        <v>78</v>
      </c>
      <c r="K182" s="17"/>
      <c r="L182" s="78"/>
    </row>
    <row r="183" spans="1:12" s="19" customFormat="1" ht="16.5">
      <c r="A183" s="3" t="s">
        <v>744</v>
      </c>
      <c r="B183" s="12" t="s">
        <v>606</v>
      </c>
      <c r="C183" s="7"/>
      <c r="D183" s="82" t="s">
        <v>631</v>
      </c>
      <c r="E183" s="7"/>
      <c r="F183" s="7"/>
      <c r="G183" s="12"/>
      <c r="H183" s="12"/>
      <c r="I183" s="187"/>
      <c r="J183" s="12">
        <v>2</v>
      </c>
      <c r="K183" s="17"/>
      <c r="L183" s="78"/>
    </row>
    <row r="184" spans="1:12" s="19" customFormat="1" ht="16.5">
      <c r="A184" s="3" t="s">
        <v>744</v>
      </c>
      <c r="B184" s="12" t="s">
        <v>608</v>
      </c>
      <c r="C184" s="7"/>
      <c r="D184" s="82" t="s">
        <v>632</v>
      </c>
      <c r="E184" s="7"/>
      <c r="F184" s="7"/>
      <c r="G184" s="12"/>
      <c r="H184" s="12"/>
      <c r="I184" s="75">
        <v>600</v>
      </c>
      <c r="J184" s="12">
        <v>56</v>
      </c>
      <c r="K184" s="17"/>
      <c r="L184" s="78"/>
    </row>
    <row r="185" spans="1:12" s="19" customFormat="1" ht="16.5">
      <c r="A185" s="3" t="s">
        <v>744</v>
      </c>
      <c r="B185" s="12" t="s">
        <v>608</v>
      </c>
      <c r="C185" s="7"/>
      <c r="D185" s="82" t="s">
        <v>573</v>
      </c>
      <c r="E185" s="7"/>
      <c r="F185" s="7"/>
      <c r="G185" s="12"/>
      <c r="H185" s="12"/>
      <c r="I185" s="185">
        <v>215</v>
      </c>
      <c r="J185" s="12">
        <v>153</v>
      </c>
      <c r="K185" s="17"/>
      <c r="L185" s="78"/>
    </row>
    <row r="186" spans="1:12" s="19" customFormat="1" ht="16.5">
      <c r="A186" s="3" t="s">
        <v>744</v>
      </c>
      <c r="B186" s="12" t="s">
        <v>608</v>
      </c>
      <c r="C186" s="7"/>
      <c r="D186" s="82" t="s">
        <v>629</v>
      </c>
      <c r="E186" s="7"/>
      <c r="F186" s="7"/>
      <c r="G186" s="12"/>
      <c r="H186" s="12"/>
      <c r="I186" s="187"/>
      <c r="J186" s="12">
        <v>2</v>
      </c>
      <c r="K186" s="17"/>
      <c r="L186" s="78"/>
    </row>
    <row r="187" spans="1:12" s="19" customFormat="1" ht="16.5">
      <c r="A187" s="3" t="s">
        <v>744</v>
      </c>
      <c r="B187" s="12" t="s">
        <v>609</v>
      </c>
      <c r="C187" s="7"/>
      <c r="D187" s="82" t="s">
        <v>574</v>
      </c>
      <c r="E187" s="7"/>
      <c r="F187" s="7"/>
      <c r="G187" s="12"/>
      <c r="H187" s="12"/>
      <c r="I187" s="75">
        <v>110</v>
      </c>
      <c r="J187" s="12"/>
      <c r="K187" s="17"/>
      <c r="L187" s="78"/>
    </row>
    <row r="188" spans="1:12" s="19" customFormat="1" ht="16.5">
      <c r="A188" s="3" t="s">
        <v>744</v>
      </c>
      <c r="B188" s="12" t="s">
        <v>609</v>
      </c>
      <c r="C188" s="7"/>
      <c r="D188" s="82" t="s">
        <v>633</v>
      </c>
      <c r="E188" s="7"/>
      <c r="F188" s="7"/>
      <c r="G188" s="12"/>
      <c r="H188" s="12"/>
      <c r="I188" s="75">
        <v>260</v>
      </c>
      <c r="J188" s="12">
        <v>6</v>
      </c>
      <c r="K188" s="17"/>
      <c r="L188" s="78"/>
    </row>
    <row r="189" spans="1:12" s="19" customFormat="1" ht="16.5">
      <c r="A189" s="3" t="s">
        <v>744</v>
      </c>
      <c r="B189" s="12" t="s">
        <v>609</v>
      </c>
      <c r="C189" s="7"/>
      <c r="D189" s="82" t="s">
        <v>573</v>
      </c>
      <c r="E189" s="7"/>
      <c r="F189" s="7"/>
      <c r="G189" s="12"/>
      <c r="H189" s="12"/>
      <c r="I189" s="75">
        <v>45</v>
      </c>
      <c r="J189" s="12">
        <v>7</v>
      </c>
      <c r="K189" s="17"/>
      <c r="L189" s="78"/>
    </row>
    <row r="190" spans="1:12" s="19" customFormat="1" ht="16.5">
      <c r="A190" s="3" t="s">
        <v>745</v>
      </c>
      <c r="B190" s="12" t="s">
        <v>612</v>
      </c>
      <c r="C190" s="7"/>
      <c r="D190" s="82" t="s">
        <v>573</v>
      </c>
      <c r="E190" s="7"/>
      <c r="F190" s="7"/>
      <c r="G190" s="12"/>
      <c r="H190" s="12"/>
      <c r="I190" s="185">
        <v>20</v>
      </c>
      <c r="J190" s="12">
        <v>15</v>
      </c>
      <c r="K190" s="17"/>
      <c r="L190" s="78"/>
    </row>
    <row r="191" spans="1:12" s="19" customFormat="1" ht="16.5">
      <c r="A191" s="3" t="s">
        <v>745</v>
      </c>
      <c r="B191" s="12" t="s">
        <v>612</v>
      </c>
      <c r="C191" s="7"/>
      <c r="D191" s="82" t="s">
        <v>634</v>
      </c>
      <c r="E191" s="7"/>
      <c r="F191" s="7"/>
      <c r="G191" s="12"/>
      <c r="H191" s="12"/>
      <c r="I191" s="186"/>
      <c r="J191" s="12">
        <v>1</v>
      </c>
      <c r="K191" s="17"/>
      <c r="L191" s="78"/>
    </row>
    <row r="192" spans="1:12" s="19" customFormat="1" ht="16.5">
      <c r="A192" s="3" t="s">
        <v>745</v>
      </c>
      <c r="B192" s="12" t="s">
        <v>612</v>
      </c>
      <c r="C192" s="7"/>
      <c r="D192" s="82" t="s">
        <v>635</v>
      </c>
      <c r="E192" s="7"/>
      <c r="F192" s="7"/>
      <c r="G192" s="12"/>
      <c r="H192" s="12"/>
      <c r="I192" s="186"/>
      <c r="J192" s="12">
        <v>2</v>
      </c>
      <c r="K192" s="17"/>
      <c r="L192" s="78"/>
    </row>
    <row r="193" spans="1:12" s="19" customFormat="1" ht="16.5">
      <c r="A193" s="3" t="s">
        <v>745</v>
      </c>
      <c r="B193" s="12" t="s">
        <v>612</v>
      </c>
      <c r="C193" s="7"/>
      <c r="D193" s="82" t="s">
        <v>636</v>
      </c>
      <c r="E193" s="7"/>
      <c r="F193" s="7"/>
      <c r="G193" s="12"/>
      <c r="H193" s="12"/>
      <c r="I193" s="186"/>
      <c r="J193" s="12">
        <v>1</v>
      </c>
      <c r="K193" s="17"/>
      <c r="L193" s="78"/>
    </row>
    <row r="194" spans="1:12" s="19" customFormat="1" ht="16.5">
      <c r="A194" s="3" t="s">
        <v>745</v>
      </c>
      <c r="B194" s="12" t="s">
        <v>572</v>
      </c>
      <c r="C194" s="7"/>
      <c r="D194" s="82" t="s">
        <v>573</v>
      </c>
      <c r="E194" s="7"/>
      <c r="F194" s="7"/>
      <c r="G194" s="12"/>
      <c r="H194" s="12"/>
      <c r="I194" s="75">
        <v>75</v>
      </c>
      <c r="J194" s="12">
        <v>14</v>
      </c>
      <c r="K194" s="17"/>
      <c r="L194" s="78"/>
    </row>
    <row r="195" spans="1:12" s="19" customFormat="1" ht="16.5">
      <c r="A195" s="3" t="s">
        <v>745</v>
      </c>
      <c r="B195" s="12" t="s">
        <v>572</v>
      </c>
      <c r="C195" s="7"/>
      <c r="D195" s="82" t="s">
        <v>574</v>
      </c>
      <c r="E195" s="7"/>
      <c r="F195" s="7"/>
      <c r="G195" s="12"/>
      <c r="H195" s="12"/>
      <c r="I195" s="75">
        <v>250</v>
      </c>
      <c r="J195" s="12">
        <v>15</v>
      </c>
      <c r="K195" s="17"/>
      <c r="L195" s="78" t="s">
        <v>575</v>
      </c>
    </row>
    <row r="196" spans="1:12" s="19" customFormat="1" ht="16.5">
      <c r="A196" s="3" t="s">
        <v>745</v>
      </c>
      <c r="B196" s="12" t="s">
        <v>572</v>
      </c>
      <c r="C196" s="7"/>
      <c r="D196" s="82" t="s">
        <v>576</v>
      </c>
      <c r="E196" s="7"/>
      <c r="F196" s="7"/>
      <c r="G196" s="12"/>
      <c r="H196" s="12"/>
      <c r="I196" s="75">
        <v>70</v>
      </c>
      <c r="J196" s="12">
        <v>5</v>
      </c>
      <c r="K196" s="17"/>
      <c r="L196" s="78"/>
    </row>
    <row r="197" spans="1:12" s="19" customFormat="1" ht="16.5">
      <c r="A197" s="3" t="s">
        <v>745</v>
      </c>
      <c r="B197" s="12" t="s">
        <v>637</v>
      </c>
      <c r="C197" s="7"/>
      <c r="D197" s="82" t="s">
        <v>633</v>
      </c>
      <c r="E197" s="7"/>
      <c r="F197" s="7"/>
      <c r="G197" s="12"/>
      <c r="H197" s="12"/>
      <c r="I197" s="215">
        <v>60</v>
      </c>
      <c r="J197" s="12">
        <v>2</v>
      </c>
      <c r="K197" s="17"/>
      <c r="L197" s="78"/>
    </row>
    <row r="198" spans="1:12" s="19" customFormat="1" ht="16.5">
      <c r="A198" s="3" t="s">
        <v>745</v>
      </c>
      <c r="B198" s="12" t="s">
        <v>637</v>
      </c>
      <c r="C198" s="7"/>
      <c r="D198" s="82" t="s">
        <v>573</v>
      </c>
      <c r="E198" s="7"/>
      <c r="F198" s="7"/>
      <c r="G198" s="12"/>
      <c r="H198" s="12"/>
      <c r="I198" s="215">
        <v>90</v>
      </c>
      <c r="J198" s="12">
        <v>10</v>
      </c>
      <c r="K198" s="17"/>
      <c r="L198" s="78"/>
    </row>
    <row r="199" spans="1:12" s="19" customFormat="1" ht="16.5">
      <c r="A199" s="3" t="s">
        <v>745</v>
      </c>
      <c r="B199" s="12" t="s">
        <v>580</v>
      </c>
      <c r="C199" s="7"/>
      <c r="D199" s="82" t="s">
        <v>573</v>
      </c>
      <c r="E199" s="7"/>
      <c r="F199" s="7"/>
      <c r="G199" s="12"/>
      <c r="H199" s="12"/>
      <c r="I199" s="75">
        <v>230</v>
      </c>
      <c r="J199" s="12">
        <v>13</v>
      </c>
      <c r="K199" s="17"/>
      <c r="L199" s="78"/>
    </row>
    <row r="200" spans="1:12" s="19" customFormat="1" ht="16.5">
      <c r="A200" s="3" t="s">
        <v>745</v>
      </c>
      <c r="B200" s="12" t="s">
        <v>580</v>
      </c>
      <c r="C200" s="7"/>
      <c r="D200" s="82" t="s">
        <v>574</v>
      </c>
      <c r="E200" s="7"/>
      <c r="F200" s="7"/>
      <c r="G200" s="12"/>
      <c r="H200" s="12"/>
      <c r="I200" s="75">
        <f>840+640</f>
        <v>1480</v>
      </c>
      <c r="J200" s="12">
        <v>166</v>
      </c>
      <c r="K200" s="17"/>
      <c r="L200" s="78" t="s">
        <v>579</v>
      </c>
    </row>
    <row r="201" spans="1:12" s="19" customFormat="1" ht="16.5">
      <c r="A201" s="3" t="s">
        <v>745</v>
      </c>
      <c r="B201" s="12" t="s">
        <v>746</v>
      </c>
      <c r="C201" s="7"/>
      <c r="D201" s="213" t="s">
        <v>574</v>
      </c>
      <c r="E201" s="7"/>
      <c r="F201" s="7"/>
      <c r="G201" s="12"/>
      <c r="H201" s="12"/>
      <c r="I201" s="75">
        <v>140</v>
      </c>
      <c r="J201" s="12">
        <v>128</v>
      </c>
      <c r="K201" s="17"/>
      <c r="L201" s="78"/>
    </row>
    <row r="202" spans="1:12" s="19" customFormat="1" ht="16.5">
      <c r="A202" s="3" t="s">
        <v>745</v>
      </c>
      <c r="B202" s="12" t="s">
        <v>746</v>
      </c>
      <c r="C202" s="7"/>
      <c r="D202" s="213" t="s">
        <v>573</v>
      </c>
      <c r="E202" s="7"/>
      <c r="F202" s="7"/>
      <c r="G202" s="12"/>
      <c r="H202" s="12"/>
      <c r="I202" s="75">
        <v>25</v>
      </c>
      <c r="J202" s="12">
        <v>11</v>
      </c>
      <c r="K202" s="17"/>
      <c r="L202" s="78"/>
    </row>
  </sheetData>
  <mergeCells count="14">
    <mergeCell ref="I179:I181"/>
    <mergeCell ref="I182:I183"/>
    <mergeCell ref="I185:I186"/>
    <mergeCell ref="I190:I193"/>
    <mergeCell ref="H21:H22"/>
    <mergeCell ref="I21:I22"/>
    <mergeCell ref="H98:H110"/>
    <mergeCell ref="I98:I110"/>
    <mergeCell ref="H25:H30"/>
    <mergeCell ref="I25:I30"/>
    <mergeCell ref="H37:H43"/>
    <mergeCell ref="I37:I43"/>
    <mergeCell ref="H77:H82"/>
    <mergeCell ref="I77:I82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opLeftCell="A106" zoomScaleNormal="100" workbookViewId="0">
      <selection activeCell="D112" sqref="D112"/>
    </sheetView>
  </sheetViews>
  <sheetFormatPr defaultRowHeight="15.75"/>
  <cols>
    <col min="1" max="1" width="12.42578125" bestFit="1" customWidth="1"/>
    <col min="2" max="2" width="12.140625" style="19" customWidth="1"/>
    <col min="3" max="3" width="18.5703125" customWidth="1"/>
    <col min="4" max="4" width="30.140625" style="83" customWidth="1"/>
    <col min="5" max="5" width="18.85546875" hidden="1" customWidth="1"/>
    <col min="6" max="6" width="18.42578125" hidden="1" customWidth="1"/>
    <col min="7" max="7" width="10" hidden="1" customWidth="1"/>
    <col min="8" max="8" width="10.85546875" hidden="1" customWidth="1"/>
    <col min="9" max="9" width="12.28515625" style="19" bestFit="1" customWidth="1"/>
    <col min="10" max="10" width="14.7109375" bestFit="1" customWidth="1"/>
    <col min="11" max="11" width="22.140625" hidden="1" customWidth="1"/>
    <col min="12" max="12" width="20.85546875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9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ht="15" customHeight="1">
      <c r="A2" s="76" t="s">
        <v>418</v>
      </c>
      <c r="B2" s="34" t="s">
        <v>68</v>
      </c>
      <c r="C2" s="56" t="s">
        <v>94</v>
      </c>
      <c r="D2" s="2"/>
      <c r="E2" s="2" t="s">
        <v>95</v>
      </c>
      <c r="F2" s="2" t="s">
        <v>96</v>
      </c>
      <c r="G2" s="2" t="s">
        <v>97</v>
      </c>
      <c r="H2" s="91"/>
      <c r="I2" s="91"/>
      <c r="J2" s="91">
        <v>13</v>
      </c>
      <c r="K2" s="91"/>
      <c r="L2" s="91"/>
    </row>
    <row r="3" spans="1:12" ht="15" customHeight="1">
      <c r="A3" s="76" t="s">
        <v>418</v>
      </c>
      <c r="B3" s="34" t="s">
        <v>68</v>
      </c>
      <c r="C3" s="56" t="s">
        <v>102</v>
      </c>
      <c r="D3" s="3"/>
      <c r="E3" s="3" t="s">
        <v>95</v>
      </c>
      <c r="F3" s="3" t="s">
        <v>103</v>
      </c>
      <c r="G3" s="3" t="s">
        <v>102</v>
      </c>
      <c r="H3" s="91"/>
      <c r="I3" s="91"/>
      <c r="J3" s="91">
        <v>1</v>
      </c>
      <c r="K3" s="91"/>
      <c r="L3" s="91"/>
    </row>
    <row r="4" spans="1:12" ht="15" customHeight="1">
      <c r="A4" s="76" t="s">
        <v>418</v>
      </c>
      <c r="B4" s="34" t="s">
        <v>68</v>
      </c>
      <c r="C4" s="54" t="s">
        <v>104</v>
      </c>
      <c r="D4" s="3"/>
      <c r="E4" s="3" t="s">
        <v>95</v>
      </c>
      <c r="F4" s="3" t="s">
        <v>96</v>
      </c>
      <c r="G4" s="3" t="s">
        <v>105</v>
      </c>
      <c r="H4" s="92"/>
      <c r="I4" s="92"/>
      <c r="J4" s="92">
        <v>5</v>
      </c>
      <c r="K4" s="92"/>
      <c r="L4" s="92"/>
    </row>
    <row r="5" spans="1:12" ht="15" customHeight="1">
      <c r="A5" s="76" t="s">
        <v>418</v>
      </c>
      <c r="B5" s="34" t="s">
        <v>68</v>
      </c>
      <c r="C5" s="56" t="s">
        <v>106</v>
      </c>
      <c r="D5" s="3"/>
      <c r="E5" s="3" t="s">
        <v>95</v>
      </c>
      <c r="F5" s="3" t="s">
        <v>96</v>
      </c>
      <c r="G5" s="3" t="s">
        <v>107</v>
      </c>
      <c r="H5" s="91"/>
      <c r="I5" s="91"/>
      <c r="J5" s="91">
        <v>2</v>
      </c>
      <c r="K5" s="91"/>
      <c r="L5" s="91"/>
    </row>
    <row r="6" spans="1:12" ht="16.5">
      <c r="A6" s="76" t="s">
        <v>418</v>
      </c>
      <c r="B6" s="34" t="s">
        <v>68</v>
      </c>
      <c r="C6" s="54" t="s">
        <v>108</v>
      </c>
      <c r="D6" s="3"/>
      <c r="E6" s="3" t="s">
        <v>95</v>
      </c>
      <c r="F6" s="3" t="s">
        <v>96</v>
      </c>
      <c r="G6" s="3" t="s">
        <v>109</v>
      </c>
      <c r="H6" s="92"/>
      <c r="I6" s="92"/>
      <c r="J6" s="92">
        <v>1</v>
      </c>
      <c r="K6" s="92"/>
      <c r="L6" s="92"/>
    </row>
    <row r="7" spans="1:12" ht="16.5">
      <c r="A7" s="76" t="s">
        <v>418</v>
      </c>
      <c r="B7" s="34" t="s">
        <v>68</v>
      </c>
      <c r="C7" s="56" t="s">
        <v>110</v>
      </c>
      <c r="D7" s="3"/>
      <c r="E7" s="3" t="s">
        <v>95</v>
      </c>
      <c r="F7" s="3" t="s">
        <v>96</v>
      </c>
      <c r="G7" s="3" t="s">
        <v>110</v>
      </c>
      <c r="H7" s="91"/>
      <c r="I7" s="91"/>
      <c r="J7" s="91">
        <v>1</v>
      </c>
      <c r="K7" s="91"/>
      <c r="L7" s="91"/>
    </row>
    <row r="8" spans="1:12" ht="16.5">
      <c r="A8" s="76" t="s">
        <v>418</v>
      </c>
      <c r="B8" s="34" t="s">
        <v>111</v>
      </c>
      <c r="C8" s="56" t="s">
        <v>94</v>
      </c>
      <c r="D8" s="3"/>
      <c r="E8" s="3" t="s">
        <v>95</v>
      </c>
      <c r="F8" s="3" t="s">
        <v>120</v>
      </c>
      <c r="G8" s="3" t="s">
        <v>121</v>
      </c>
      <c r="H8" s="91"/>
      <c r="I8" s="91"/>
      <c r="J8" s="91">
        <v>8</v>
      </c>
      <c r="K8" s="91"/>
      <c r="L8" s="91"/>
    </row>
    <row r="9" spans="1:12" ht="16.5">
      <c r="A9" s="76" t="s">
        <v>418</v>
      </c>
      <c r="B9" s="34" t="s">
        <v>111</v>
      </c>
      <c r="C9" s="54" t="s">
        <v>102</v>
      </c>
      <c r="D9" s="3"/>
      <c r="E9" s="3" t="s">
        <v>95</v>
      </c>
      <c r="F9" s="3" t="s">
        <v>139</v>
      </c>
      <c r="G9" s="3" t="s">
        <v>140</v>
      </c>
      <c r="H9" s="92"/>
      <c r="I9" s="92"/>
      <c r="J9" s="92">
        <v>3</v>
      </c>
      <c r="K9" s="92"/>
      <c r="L9" s="92"/>
    </row>
    <row r="10" spans="1:12" ht="16.5">
      <c r="A10" s="76" t="s">
        <v>418</v>
      </c>
      <c r="B10" s="34" t="s">
        <v>111</v>
      </c>
      <c r="C10" s="56" t="s">
        <v>104</v>
      </c>
      <c r="D10" s="3"/>
      <c r="E10" s="3" t="s">
        <v>95</v>
      </c>
      <c r="F10" s="3" t="s">
        <v>96</v>
      </c>
      <c r="G10" s="3" t="s">
        <v>105</v>
      </c>
      <c r="H10" s="91"/>
      <c r="I10" s="91"/>
      <c r="J10" s="91">
        <v>6</v>
      </c>
      <c r="K10" s="91"/>
      <c r="L10" s="91"/>
    </row>
    <row r="11" spans="1:12" ht="16.5">
      <c r="A11" s="76" t="s">
        <v>418</v>
      </c>
      <c r="B11" s="34" t="s">
        <v>111</v>
      </c>
      <c r="C11" s="54" t="s">
        <v>106</v>
      </c>
      <c r="D11" s="3"/>
      <c r="E11" s="3" t="s">
        <v>95</v>
      </c>
      <c r="F11" s="3" t="s">
        <v>96</v>
      </c>
      <c r="G11" s="3" t="s">
        <v>107</v>
      </c>
      <c r="H11" s="92"/>
      <c r="I11" s="92"/>
      <c r="J11" s="92">
        <v>38</v>
      </c>
      <c r="K11" s="92"/>
      <c r="L11" s="92"/>
    </row>
    <row r="12" spans="1:12" ht="16.5">
      <c r="A12" s="76" t="s">
        <v>418</v>
      </c>
      <c r="B12" s="34" t="s">
        <v>111</v>
      </c>
      <c r="C12" s="56" t="s">
        <v>141</v>
      </c>
      <c r="D12" s="3"/>
      <c r="E12" s="3" t="s">
        <v>95</v>
      </c>
      <c r="F12" s="3" t="s">
        <v>120</v>
      </c>
      <c r="G12" s="3" t="s">
        <v>142</v>
      </c>
      <c r="H12" s="91"/>
      <c r="I12" s="91"/>
      <c r="J12" s="91">
        <v>1</v>
      </c>
      <c r="K12" s="91"/>
      <c r="L12" s="91" t="s">
        <v>143</v>
      </c>
    </row>
    <row r="13" spans="1:12" ht="16.5">
      <c r="A13" s="76" t="s">
        <v>418</v>
      </c>
      <c r="B13" s="34" t="s">
        <v>111</v>
      </c>
      <c r="C13" s="54" t="s">
        <v>144</v>
      </c>
      <c r="D13" s="3"/>
      <c r="E13" s="3" t="s">
        <v>95</v>
      </c>
      <c r="F13" s="3" t="s">
        <v>120</v>
      </c>
      <c r="G13" s="3" t="s">
        <v>142</v>
      </c>
      <c r="H13" s="92"/>
      <c r="I13" s="92"/>
      <c r="J13" s="92">
        <v>1</v>
      </c>
      <c r="K13" s="92"/>
      <c r="L13" s="92" t="s">
        <v>143</v>
      </c>
    </row>
    <row r="14" spans="1:12" ht="16.5">
      <c r="A14" s="76" t="s">
        <v>418</v>
      </c>
      <c r="B14" s="34" t="s">
        <v>111</v>
      </c>
      <c r="C14" s="56" t="s">
        <v>145</v>
      </c>
      <c r="D14" s="3"/>
      <c r="E14" s="3" t="s">
        <v>95</v>
      </c>
      <c r="F14" s="3" t="s">
        <v>120</v>
      </c>
      <c r="G14" s="3" t="s">
        <v>146</v>
      </c>
      <c r="H14" s="91"/>
      <c r="I14" s="91"/>
      <c r="J14" s="91">
        <v>2</v>
      </c>
      <c r="K14" s="91"/>
      <c r="L14" s="91"/>
    </row>
    <row r="15" spans="1:12" ht="16.5">
      <c r="A15" s="76" t="s">
        <v>418</v>
      </c>
      <c r="B15" s="34" t="s">
        <v>111</v>
      </c>
      <c r="C15" s="54" t="s">
        <v>147</v>
      </c>
      <c r="D15" s="3"/>
      <c r="E15" s="3" t="s">
        <v>95</v>
      </c>
      <c r="F15" s="3" t="s">
        <v>120</v>
      </c>
      <c r="G15" s="3" t="s">
        <v>146</v>
      </c>
      <c r="H15" s="92"/>
      <c r="I15" s="92"/>
      <c r="J15" s="92">
        <v>6</v>
      </c>
      <c r="K15" s="92"/>
      <c r="L15" s="92"/>
    </row>
    <row r="16" spans="1:12" ht="16.5">
      <c r="A16" s="76" t="s">
        <v>418</v>
      </c>
      <c r="B16" s="34" t="s">
        <v>111</v>
      </c>
      <c r="C16" s="56" t="s">
        <v>148</v>
      </c>
      <c r="D16" s="3"/>
      <c r="E16" s="3" t="s">
        <v>95</v>
      </c>
      <c r="F16" s="3" t="s">
        <v>120</v>
      </c>
      <c r="G16" s="3" t="s">
        <v>142</v>
      </c>
      <c r="H16" s="91"/>
      <c r="I16" s="91"/>
      <c r="J16" s="91">
        <v>1</v>
      </c>
      <c r="K16" s="91"/>
      <c r="L16" s="91"/>
    </row>
    <row r="17" spans="1:12" ht="16.5">
      <c r="A17" s="76" t="s">
        <v>418</v>
      </c>
      <c r="B17" s="34" t="s">
        <v>111</v>
      </c>
      <c r="C17" s="54" t="s">
        <v>110</v>
      </c>
      <c r="D17" s="3"/>
      <c r="E17" s="3" t="s">
        <v>95</v>
      </c>
      <c r="F17" s="3" t="s">
        <v>120</v>
      </c>
      <c r="G17" s="3"/>
      <c r="H17" s="92"/>
      <c r="I17" s="92"/>
      <c r="J17" s="92">
        <v>10</v>
      </c>
      <c r="K17" s="92"/>
      <c r="L17" s="92"/>
    </row>
    <row r="18" spans="1:12" ht="16.5">
      <c r="A18" s="76" t="s">
        <v>418</v>
      </c>
      <c r="B18" s="34" t="s">
        <v>111</v>
      </c>
      <c r="C18" s="56" t="s">
        <v>149</v>
      </c>
      <c r="D18" s="3"/>
      <c r="E18" s="3" t="s">
        <v>95</v>
      </c>
      <c r="F18" s="3" t="s">
        <v>120</v>
      </c>
      <c r="G18" s="3" t="s">
        <v>142</v>
      </c>
      <c r="H18" s="91"/>
      <c r="I18" s="91"/>
      <c r="J18" s="91">
        <v>1</v>
      </c>
      <c r="K18" s="91"/>
      <c r="L18" s="91"/>
    </row>
    <row r="19" spans="1:12" ht="16.5">
      <c r="A19" s="76" t="s">
        <v>418</v>
      </c>
      <c r="B19" s="34" t="s">
        <v>111</v>
      </c>
      <c r="C19" s="59" t="s">
        <v>150</v>
      </c>
      <c r="D19" s="60"/>
      <c r="E19" s="60" t="s">
        <v>95</v>
      </c>
      <c r="F19" s="60" t="s">
        <v>120</v>
      </c>
      <c r="G19" s="60" t="s">
        <v>146</v>
      </c>
      <c r="H19" s="61"/>
      <c r="I19" s="61"/>
      <c r="J19" s="61">
        <v>1</v>
      </c>
      <c r="K19" s="61"/>
      <c r="L19" s="61"/>
    </row>
    <row r="20" spans="1:12" ht="16.5">
      <c r="A20" s="76" t="s">
        <v>418</v>
      </c>
      <c r="B20" s="34" t="s">
        <v>111</v>
      </c>
      <c r="C20" s="56" t="s">
        <v>151</v>
      </c>
      <c r="D20" s="3"/>
      <c r="E20" s="3" t="s">
        <v>95</v>
      </c>
      <c r="F20" s="3" t="s">
        <v>120</v>
      </c>
      <c r="G20" s="3" t="s">
        <v>142</v>
      </c>
      <c r="H20" s="91"/>
      <c r="I20" s="91"/>
      <c r="J20" s="91">
        <v>1</v>
      </c>
      <c r="K20" s="91"/>
      <c r="L20" s="91"/>
    </row>
    <row r="21" spans="1:12" ht="16.5">
      <c r="A21" s="76" t="s">
        <v>418</v>
      </c>
      <c r="B21" s="34" t="s">
        <v>111</v>
      </c>
      <c r="C21" s="54" t="s">
        <v>152</v>
      </c>
      <c r="D21" s="3"/>
      <c r="E21" s="3" t="s">
        <v>95</v>
      </c>
      <c r="F21" s="3" t="s">
        <v>120</v>
      </c>
      <c r="G21" s="3" t="s">
        <v>146</v>
      </c>
      <c r="H21" s="92"/>
      <c r="I21" s="92"/>
      <c r="J21" s="92">
        <v>1</v>
      </c>
      <c r="K21" s="92"/>
      <c r="L21" s="92"/>
    </row>
    <row r="22" spans="1:12" ht="16.5">
      <c r="A22" s="76" t="s">
        <v>418</v>
      </c>
      <c r="B22" s="34" t="s">
        <v>162</v>
      </c>
      <c r="C22" s="54" t="s">
        <v>176</v>
      </c>
      <c r="D22" s="3"/>
      <c r="E22" s="3" t="s">
        <v>95</v>
      </c>
      <c r="F22" s="3" t="s">
        <v>177</v>
      </c>
      <c r="G22" s="3" t="s">
        <v>178</v>
      </c>
      <c r="H22" s="92"/>
      <c r="I22" s="92"/>
      <c r="J22" s="92">
        <v>9</v>
      </c>
      <c r="K22" s="92"/>
      <c r="L22" s="92"/>
    </row>
    <row r="23" spans="1:12" ht="16.5">
      <c r="A23" s="76" t="s">
        <v>418</v>
      </c>
      <c r="B23" s="34" t="s">
        <v>162</v>
      </c>
      <c r="C23" s="56" t="s">
        <v>179</v>
      </c>
      <c r="D23" s="3"/>
      <c r="E23" s="3" t="s">
        <v>95</v>
      </c>
      <c r="F23" s="3" t="s">
        <v>120</v>
      </c>
      <c r="G23" s="3" t="s">
        <v>146</v>
      </c>
      <c r="H23" s="91"/>
      <c r="I23" s="91"/>
      <c r="J23" s="91">
        <v>1</v>
      </c>
      <c r="K23" s="91"/>
      <c r="L23" s="91"/>
    </row>
    <row r="24" spans="1:12" ht="16.5">
      <c r="A24" s="76" t="s">
        <v>418</v>
      </c>
      <c r="B24" s="34" t="s">
        <v>162</v>
      </c>
      <c r="C24" s="54" t="s">
        <v>180</v>
      </c>
      <c r="D24" s="3"/>
      <c r="E24" s="3" t="s">
        <v>95</v>
      </c>
      <c r="F24" s="3" t="s">
        <v>120</v>
      </c>
      <c r="G24" s="3" t="s">
        <v>142</v>
      </c>
      <c r="H24" s="92"/>
      <c r="I24" s="92"/>
      <c r="J24" s="92">
        <v>1</v>
      </c>
      <c r="K24" s="92"/>
      <c r="L24" s="92"/>
    </row>
    <row r="25" spans="1:12" ht="16.5">
      <c r="A25" s="76" t="s">
        <v>418</v>
      </c>
      <c r="B25" s="34" t="s">
        <v>162</v>
      </c>
      <c r="C25" s="56" t="s">
        <v>181</v>
      </c>
      <c r="D25" s="3"/>
      <c r="E25" s="3" t="s">
        <v>95</v>
      </c>
      <c r="F25" s="3" t="s">
        <v>120</v>
      </c>
      <c r="G25" s="3" t="s">
        <v>182</v>
      </c>
      <c r="H25" s="91"/>
      <c r="I25" s="91"/>
      <c r="J25" s="91">
        <v>5</v>
      </c>
      <c r="K25" s="91"/>
      <c r="L25" s="91"/>
    </row>
    <row r="26" spans="1:12" ht="16.5">
      <c r="A26" s="76" t="s">
        <v>418</v>
      </c>
      <c r="B26" s="34" t="s">
        <v>162</v>
      </c>
      <c r="C26" s="54" t="s">
        <v>183</v>
      </c>
      <c r="D26" s="3"/>
      <c r="E26" s="3" t="s">
        <v>95</v>
      </c>
      <c r="F26" s="3" t="s">
        <v>177</v>
      </c>
      <c r="G26" s="3"/>
      <c r="H26" s="92"/>
      <c r="I26" s="92"/>
      <c r="J26" s="92">
        <v>2</v>
      </c>
      <c r="K26" s="65"/>
      <c r="L26" s="65" t="s">
        <v>184</v>
      </c>
    </row>
    <row r="27" spans="1:12" ht="16.5">
      <c r="A27" s="76" t="s">
        <v>418</v>
      </c>
      <c r="B27" s="34" t="s">
        <v>162</v>
      </c>
      <c r="C27" s="56" t="s">
        <v>422</v>
      </c>
      <c r="D27" s="3"/>
      <c r="E27" s="3" t="s">
        <v>95</v>
      </c>
      <c r="F27" s="3" t="s">
        <v>120</v>
      </c>
      <c r="G27" s="3" t="s">
        <v>182</v>
      </c>
      <c r="H27" s="91"/>
      <c r="I27" s="91"/>
      <c r="J27" s="91">
        <v>6</v>
      </c>
      <c r="K27" s="91"/>
      <c r="L27" s="91"/>
    </row>
    <row r="28" spans="1:12" ht="16.5">
      <c r="A28" s="76" t="s">
        <v>418</v>
      </c>
      <c r="B28" s="34" t="s">
        <v>162</v>
      </c>
      <c r="C28" s="54" t="s">
        <v>422</v>
      </c>
      <c r="D28" s="3"/>
      <c r="E28" s="3" t="s">
        <v>95</v>
      </c>
      <c r="F28" s="3" t="s">
        <v>120</v>
      </c>
      <c r="G28" s="3" t="s">
        <v>182</v>
      </c>
      <c r="H28" s="92"/>
      <c r="I28" s="92"/>
      <c r="J28" s="92">
        <v>1</v>
      </c>
      <c r="K28" s="92"/>
      <c r="L28" s="92"/>
    </row>
    <row r="29" spans="1:12" ht="16.5">
      <c r="A29" s="76" t="s">
        <v>418</v>
      </c>
      <c r="B29" s="34" t="s">
        <v>162</v>
      </c>
      <c r="C29" s="56" t="s">
        <v>185</v>
      </c>
      <c r="D29" s="3"/>
      <c r="E29" s="3" t="s">
        <v>95</v>
      </c>
      <c r="F29" s="3" t="s">
        <v>177</v>
      </c>
      <c r="G29" s="3" t="s">
        <v>186</v>
      </c>
      <c r="H29" s="91"/>
      <c r="I29" s="91"/>
      <c r="J29" s="91">
        <v>2</v>
      </c>
      <c r="K29" s="91"/>
      <c r="L29" s="91"/>
    </row>
    <row r="30" spans="1:12" ht="16.5">
      <c r="A30" s="76" t="s">
        <v>418</v>
      </c>
      <c r="B30" s="34" t="s">
        <v>162</v>
      </c>
      <c r="C30" s="54" t="s">
        <v>187</v>
      </c>
      <c r="D30" s="3"/>
      <c r="E30" s="3" t="s">
        <v>95</v>
      </c>
      <c r="F30" s="3" t="s">
        <v>120</v>
      </c>
      <c r="G30" s="3" t="s">
        <v>142</v>
      </c>
      <c r="H30" s="92"/>
      <c r="I30" s="92"/>
      <c r="J30" s="92">
        <v>6</v>
      </c>
      <c r="K30" s="92"/>
      <c r="L30" s="92"/>
    </row>
    <row r="31" spans="1:12" ht="16.5">
      <c r="A31" s="76" t="s">
        <v>418</v>
      </c>
      <c r="B31" s="34" t="s">
        <v>162</v>
      </c>
      <c r="C31" s="56" t="s">
        <v>188</v>
      </c>
      <c r="D31" s="3"/>
      <c r="E31" s="3" t="s">
        <v>95</v>
      </c>
      <c r="F31" s="3" t="s">
        <v>189</v>
      </c>
      <c r="G31" s="3"/>
      <c r="H31" s="91"/>
      <c r="I31" s="91"/>
      <c r="J31" s="56" t="s">
        <v>190</v>
      </c>
      <c r="K31" s="91"/>
      <c r="L31" s="91"/>
    </row>
    <row r="32" spans="1:12" ht="16.5">
      <c r="A32" s="76" t="s">
        <v>418</v>
      </c>
      <c r="B32" s="34" t="s">
        <v>162</v>
      </c>
      <c r="C32" s="54" t="s">
        <v>191</v>
      </c>
      <c r="D32" s="3"/>
      <c r="E32" s="3" t="s">
        <v>95</v>
      </c>
      <c r="F32" s="3" t="s">
        <v>177</v>
      </c>
      <c r="G32" s="3"/>
      <c r="H32" s="92"/>
      <c r="I32" s="92"/>
      <c r="J32" s="92">
        <v>15</v>
      </c>
      <c r="K32" s="54"/>
      <c r="L32" s="54" t="s">
        <v>192</v>
      </c>
    </row>
    <row r="33" spans="1:12" ht="16.5">
      <c r="A33" s="76" t="s">
        <v>418</v>
      </c>
      <c r="B33" s="34" t="s">
        <v>162</v>
      </c>
      <c r="C33" s="56" t="s">
        <v>193</v>
      </c>
      <c r="D33" s="3"/>
      <c r="E33" s="3" t="s">
        <v>95</v>
      </c>
      <c r="F33" s="3" t="s">
        <v>120</v>
      </c>
      <c r="G33" s="3"/>
      <c r="H33" s="91"/>
      <c r="I33" s="91"/>
      <c r="J33" s="91">
        <v>6</v>
      </c>
      <c r="K33" s="56"/>
      <c r="L33" s="56" t="s">
        <v>194</v>
      </c>
    </row>
    <row r="34" spans="1:12" ht="16.5">
      <c r="A34" s="76" t="s">
        <v>418</v>
      </c>
      <c r="B34" s="34" t="s">
        <v>195</v>
      </c>
      <c r="C34" s="54" t="s">
        <v>176</v>
      </c>
      <c r="D34" s="3"/>
      <c r="E34" s="3" t="s">
        <v>95</v>
      </c>
      <c r="F34" s="3" t="s">
        <v>177</v>
      </c>
      <c r="G34" s="3" t="s">
        <v>178</v>
      </c>
      <c r="H34" s="92"/>
      <c r="I34" s="92"/>
      <c r="J34" s="92">
        <v>7</v>
      </c>
      <c r="K34" s="92"/>
      <c r="L34" s="92"/>
    </row>
    <row r="35" spans="1:12" ht="16.5">
      <c r="A35" s="76" t="s">
        <v>418</v>
      </c>
      <c r="B35" s="34" t="s">
        <v>195</v>
      </c>
      <c r="C35" s="56" t="s">
        <v>203</v>
      </c>
      <c r="D35" s="3"/>
      <c r="E35" s="3" t="s">
        <v>95</v>
      </c>
      <c r="F35" s="3" t="s">
        <v>177</v>
      </c>
      <c r="G35" s="3" t="s">
        <v>204</v>
      </c>
      <c r="H35" s="91"/>
      <c r="I35" s="91"/>
      <c r="J35" s="91">
        <v>2</v>
      </c>
      <c r="K35" s="91"/>
      <c r="L35" s="91"/>
    </row>
    <row r="36" spans="1:12" ht="16.5">
      <c r="A36" s="76" t="s">
        <v>418</v>
      </c>
      <c r="B36" s="34" t="s">
        <v>195</v>
      </c>
      <c r="C36" s="54" t="s">
        <v>187</v>
      </c>
      <c r="D36" s="3"/>
      <c r="E36" s="3" t="s">
        <v>95</v>
      </c>
      <c r="F36" s="3" t="s">
        <v>120</v>
      </c>
      <c r="G36" s="3" t="s">
        <v>142</v>
      </c>
      <c r="H36" s="92"/>
      <c r="I36" s="92"/>
      <c r="J36" s="92">
        <v>1</v>
      </c>
      <c r="K36" s="92"/>
      <c r="L36" s="92"/>
    </row>
    <row r="37" spans="1:12" ht="16.5">
      <c r="A37" s="76" t="s">
        <v>418</v>
      </c>
      <c r="B37" s="34" t="s">
        <v>195</v>
      </c>
      <c r="C37" s="56" t="s">
        <v>181</v>
      </c>
      <c r="D37" s="3"/>
      <c r="E37" s="3" t="s">
        <v>95</v>
      </c>
      <c r="F37" s="3" t="s">
        <v>120</v>
      </c>
      <c r="G37" s="3" t="s">
        <v>182</v>
      </c>
      <c r="H37" s="91"/>
      <c r="I37" s="91"/>
      <c r="J37" s="91">
        <v>9</v>
      </c>
      <c r="K37" s="91"/>
      <c r="L37" s="91"/>
    </row>
    <row r="38" spans="1:12" ht="16.5">
      <c r="A38" s="76" t="s">
        <v>418</v>
      </c>
      <c r="B38" s="34" t="s">
        <v>195</v>
      </c>
      <c r="C38" s="54" t="s">
        <v>179</v>
      </c>
      <c r="D38" s="3"/>
      <c r="E38" s="3" t="s">
        <v>95</v>
      </c>
      <c r="F38" s="3" t="s">
        <v>120</v>
      </c>
      <c r="G38" s="3" t="s">
        <v>146</v>
      </c>
      <c r="H38" s="92"/>
      <c r="I38" s="92"/>
      <c r="J38" s="92">
        <v>2</v>
      </c>
      <c r="K38" s="92"/>
      <c r="L38" s="92"/>
    </row>
    <row r="39" spans="1:12" ht="16.5">
      <c r="A39" s="76" t="s">
        <v>418</v>
      </c>
      <c r="B39" s="34" t="s">
        <v>195</v>
      </c>
      <c r="C39" s="56" t="s">
        <v>423</v>
      </c>
      <c r="D39" s="3"/>
      <c r="E39" s="3" t="s">
        <v>95</v>
      </c>
      <c r="F39" s="3" t="s">
        <v>189</v>
      </c>
      <c r="G39" s="3"/>
      <c r="H39" s="91"/>
      <c r="I39" s="91"/>
      <c r="J39" s="91">
        <v>15</v>
      </c>
      <c r="K39" s="91"/>
      <c r="L39" s="91"/>
    </row>
    <row r="40" spans="1:12" ht="16.5">
      <c r="A40" s="76" t="s">
        <v>418</v>
      </c>
      <c r="B40" s="34" t="s">
        <v>195</v>
      </c>
      <c r="C40" s="54" t="s">
        <v>424</v>
      </c>
      <c r="D40" s="3"/>
      <c r="E40" s="3" t="s">
        <v>95</v>
      </c>
      <c r="F40" s="3" t="s">
        <v>189</v>
      </c>
      <c r="G40" s="3"/>
      <c r="H40" s="92"/>
      <c r="I40" s="92"/>
      <c r="J40" s="92">
        <v>6</v>
      </c>
      <c r="K40" s="92"/>
      <c r="L40" s="92"/>
    </row>
    <row r="41" spans="1:12" ht="16.5">
      <c r="A41" s="76" t="s">
        <v>418</v>
      </c>
      <c r="B41" s="34" t="s">
        <v>195</v>
      </c>
      <c r="C41" s="56" t="s">
        <v>205</v>
      </c>
      <c r="D41" s="3"/>
      <c r="E41" s="3" t="s">
        <v>95</v>
      </c>
      <c r="F41" s="3" t="s">
        <v>120</v>
      </c>
      <c r="G41" s="3" t="s">
        <v>182</v>
      </c>
      <c r="H41" s="91"/>
      <c r="I41" s="91"/>
      <c r="J41" s="91">
        <v>3</v>
      </c>
      <c r="K41" s="91"/>
      <c r="L41" s="91"/>
    </row>
    <row r="42" spans="1:12" ht="16.5">
      <c r="A42" s="76" t="s">
        <v>418</v>
      </c>
      <c r="B42" s="34" t="s">
        <v>195</v>
      </c>
      <c r="C42" s="54" t="s">
        <v>206</v>
      </c>
      <c r="D42" s="3"/>
      <c r="E42" s="3" t="s">
        <v>95</v>
      </c>
      <c r="F42" s="3" t="s">
        <v>120</v>
      </c>
      <c r="G42" s="3" t="s">
        <v>207</v>
      </c>
      <c r="H42" s="92"/>
      <c r="I42" s="92"/>
      <c r="J42" s="92">
        <v>3</v>
      </c>
      <c r="K42" s="92"/>
      <c r="L42" s="92"/>
    </row>
    <row r="43" spans="1:12" ht="16.5">
      <c r="A43" s="76" t="s">
        <v>418</v>
      </c>
      <c r="B43" s="34" t="s">
        <v>195</v>
      </c>
      <c r="C43" s="66" t="s">
        <v>150</v>
      </c>
      <c r="D43" s="60"/>
      <c r="E43" s="60" t="s">
        <v>95</v>
      </c>
      <c r="F43" s="60" t="s">
        <v>120</v>
      </c>
      <c r="G43" s="60" t="s">
        <v>146</v>
      </c>
      <c r="H43" s="67"/>
      <c r="I43" s="67"/>
      <c r="J43" s="67">
        <v>1</v>
      </c>
      <c r="K43" s="67"/>
      <c r="L43" s="67"/>
    </row>
    <row r="44" spans="1:12" ht="16.5">
      <c r="A44" s="76" t="s">
        <v>418</v>
      </c>
      <c r="B44" s="34" t="s">
        <v>208</v>
      </c>
      <c r="C44" s="56" t="s">
        <v>181</v>
      </c>
      <c r="D44" s="3"/>
      <c r="E44" s="3" t="s">
        <v>95</v>
      </c>
      <c r="F44" s="3" t="s">
        <v>120</v>
      </c>
      <c r="G44" s="3" t="s">
        <v>182</v>
      </c>
      <c r="H44" s="91"/>
      <c r="I44" s="91"/>
      <c r="J44" s="91">
        <v>60</v>
      </c>
      <c r="K44" s="91"/>
      <c r="L44" s="91"/>
    </row>
    <row r="45" spans="1:12" ht="16.5">
      <c r="A45" s="76" t="s">
        <v>418</v>
      </c>
      <c r="B45" s="34" t="s">
        <v>208</v>
      </c>
      <c r="C45" s="54" t="s">
        <v>203</v>
      </c>
      <c r="D45" s="3"/>
      <c r="E45" s="3" t="s">
        <v>95</v>
      </c>
      <c r="F45" s="3" t="s">
        <v>177</v>
      </c>
      <c r="G45" s="3" t="s">
        <v>204</v>
      </c>
      <c r="H45" s="92"/>
      <c r="I45" s="92"/>
      <c r="J45" s="92">
        <v>1</v>
      </c>
      <c r="K45" s="92"/>
      <c r="L45" s="92"/>
    </row>
    <row r="46" spans="1:12" ht="16.5">
      <c r="A46" s="76" t="s">
        <v>418</v>
      </c>
      <c r="B46" s="34" t="s">
        <v>208</v>
      </c>
      <c r="C46" s="56" t="s">
        <v>217</v>
      </c>
      <c r="D46" s="3"/>
      <c r="E46" s="3" t="s">
        <v>95</v>
      </c>
      <c r="F46" s="3" t="s">
        <v>120</v>
      </c>
      <c r="G46" s="3" t="s">
        <v>182</v>
      </c>
      <c r="H46" s="91"/>
      <c r="I46" s="91"/>
      <c r="J46" s="91">
        <v>1</v>
      </c>
      <c r="K46" s="91"/>
      <c r="L46" s="91"/>
    </row>
    <row r="47" spans="1:12" ht="16.5">
      <c r="A47" s="76" t="s">
        <v>418</v>
      </c>
      <c r="B47" s="34" t="s">
        <v>208</v>
      </c>
      <c r="C47" s="54" t="s">
        <v>179</v>
      </c>
      <c r="D47" s="3"/>
      <c r="E47" s="3" t="s">
        <v>95</v>
      </c>
      <c r="F47" s="3" t="s">
        <v>120</v>
      </c>
      <c r="G47" s="3" t="s">
        <v>146</v>
      </c>
      <c r="H47" s="92"/>
      <c r="I47" s="92"/>
      <c r="J47" s="92">
        <v>3</v>
      </c>
      <c r="K47" s="92"/>
      <c r="L47" s="92"/>
    </row>
    <row r="48" spans="1:12" ht="16.5">
      <c r="A48" s="76" t="s">
        <v>418</v>
      </c>
      <c r="B48" s="34" t="s">
        <v>208</v>
      </c>
      <c r="C48" s="56" t="s">
        <v>218</v>
      </c>
      <c r="D48" s="3"/>
      <c r="E48" s="3" t="s">
        <v>95</v>
      </c>
      <c r="F48" s="3" t="s">
        <v>177</v>
      </c>
      <c r="G48" s="3" t="s">
        <v>178</v>
      </c>
      <c r="H48" s="91"/>
      <c r="I48" s="91"/>
      <c r="J48" s="91">
        <v>1</v>
      </c>
      <c r="K48" s="91"/>
      <c r="L48" s="91"/>
    </row>
    <row r="49" spans="1:12" ht="16.5">
      <c r="A49" s="76" t="s">
        <v>418</v>
      </c>
      <c r="B49" s="34" t="s">
        <v>208</v>
      </c>
      <c r="C49" s="54" t="s">
        <v>180</v>
      </c>
      <c r="D49" s="3"/>
      <c r="E49" s="3" t="s">
        <v>95</v>
      </c>
      <c r="F49" s="3" t="s">
        <v>120</v>
      </c>
      <c r="G49" s="3" t="s">
        <v>142</v>
      </c>
      <c r="H49" s="92"/>
      <c r="I49" s="92"/>
      <c r="J49" s="92">
        <v>2</v>
      </c>
      <c r="K49" s="54"/>
      <c r="L49" s="54" t="s">
        <v>219</v>
      </c>
    </row>
    <row r="50" spans="1:12" ht="16.5">
      <c r="A50" s="76" t="s">
        <v>418</v>
      </c>
      <c r="B50" s="34" t="s">
        <v>208</v>
      </c>
      <c r="C50" s="56" t="s">
        <v>220</v>
      </c>
      <c r="D50" s="3"/>
      <c r="E50" s="3" t="s">
        <v>95</v>
      </c>
      <c r="F50" s="3" t="s">
        <v>120</v>
      </c>
      <c r="G50" s="3"/>
      <c r="H50" s="91"/>
      <c r="I50" s="91"/>
      <c r="J50" s="56">
        <v>10</v>
      </c>
      <c r="K50" s="91"/>
      <c r="L50" s="91"/>
    </row>
    <row r="51" spans="1:12" ht="16.5">
      <c r="A51" s="76" t="s">
        <v>418</v>
      </c>
      <c r="B51" s="34" t="s">
        <v>208</v>
      </c>
      <c r="C51" s="54" t="s">
        <v>221</v>
      </c>
      <c r="D51" s="3"/>
      <c r="E51" s="3" t="s">
        <v>95</v>
      </c>
      <c r="F51" s="3" t="s">
        <v>222</v>
      </c>
      <c r="G51" s="3" t="s">
        <v>223</v>
      </c>
      <c r="H51" s="92"/>
      <c r="I51" s="92"/>
      <c r="J51" s="92">
        <v>2</v>
      </c>
      <c r="K51" s="92"/>
      <c r="L51" s="92"/>
    </row>
    <row r="52" spans="1:12" ht="16.5">
      <c r="A52" s="76" t="s">
        <v>418</v>
      </c>
      <c r="B52" s="34" t="s">
        <v>208</v>
      </c>
      <c r="C52" s="56" t="s">
        <v>224</v>
      </c>
      <c r="D52" s="3"/>
      <c r="E52" s="3" t="s">
        <v>95</v>
      </c>
      <c r="F52" s="3" t="s">
        <v>120</v>
      </c>
      <c r="G52" s="3" t="s">
        <v>146</v>
      </c>
      <c r="H52" s="91"/>
      <c r="I52" s="91"/>
      <c r="J52" s="91">
        <v>3</v>
      </c>
      <c r="K52" s="91"/>
      <c r="L52" s="91"/>
    </row>
    <row r="53" spans="1:12" ht="16.5">
      <c r="A53" s="76" t="s">
        <v>418</v>
      </c>
      <c r="B53" s="34" t="s">
        <v>208</v>
      </c>
      <c r="C53" s="54" t="s">
        <v>225</v>
      </c>
      <c r="D53" s="3"/>
      <c r="E53" s="3" t="s">
        <v>95</v>
      </c>
      <c r="F53" s="3" t="s">
        <v>177</v>
      </c>
      <c r="G53" s="3" t="s">
        <v>226</v>
      </c>
      <c r="H53" s="92"/>
      <c r="I53" s="92"/>
      <c r="J53" s="92">
        <v>3</v>
      </c>
      <c r="K53" s="54"/>
      <c r="L53" s="54" t="s">
        <v>227</v>
      </c>
    </row>
    <row r="54" spans="1:12" ht="16.5">
      <c r="A54" s="76" t="s">
        <v>418</v>
      </c>
      <c r="B54" s="34" t="s">
        <v>208</v>
      </c>
      <c r="C54" s="56" t="s">
        <v>183</v>
      </c>
      <c r="D54" s="3"/>
      <c r="E54" s="3" t="s">
        <v>95</v>
      </c>
      <c r="F54" s="3" t="s">
        <v>177</v>
      </c>
      <c r="G54" s="3"/>
      <c r="H54" s="91"/>
      <c r="I54" s="91"/>
      <c r="J54" s="91">
        <v>2</v>
      </c>
      <c r="K54" s="91"/>
      <c r="L54" s="91"/>
    </row>
    <row r="55" spans="1:12" ht="16.5">
      <c r="A55" s="76" t="s">
        <v>418</v>
      </c>
      <c r="B55" s="34" t="s">
        <v>208</v>
      </c>
      <c r="C55" s="54" t="s">
        <v>228</v>
      </c>
      <c r="D55" s="3"/>
      <c r="E55" s="3" t="s">
        <v>95</v>
      </c>
      <c r="F55" s="3" t="s">
        <v>120</v>
      </c>
      <c r="G55" s="3"/>
      <c r="H55" s="92"/>
      <c r="I55" s="92"/>
      <c r="J55" s="92">
        <v>5</v>
      </c>
      <c r="K55" s="65"/>
      <c r="L55" s="65" t="s">
        <v>184</v>
      </c>
    </row>
    <row r="56" spans="1:12" ht="16.5">
      <c r="A56" s="76" t="s">
        <v>418</v>
      </c>
      <c r="B56" s="34" t="s">
        <v>208</v>
      </c>
      <c r="C56" s="56" t="s">
        <v>206</v>
      </c>
      <c r="D56" s="3"/>
      <c r="E56" s="3" t="s">
        <v>95</v>
      </c>
      <c r="F56" s="3" t="s">
        <v>120</v>
      </c>
      <c r="G56" s="3" t="s">
        <v>207</v>
      </c>
      <c r="H56" s="91"/>
      <c r="I56" s="91"/>
      <c r="J56" s="91">
        <v>4</v>
      </c>
      <c r="K56" s="91"/>
      <c r="L56" s="91" t="s">
        <v>184</v>
      </c>
    </row>
    <row r="57" spans="1:12" ht="16.5">
      <c r="A57" s="76" t="s">
        <v>418</v>
      </c>
      <c r="B57" s="34" t="s">
        <v>208</v>
      </c>
      <c r="C57" s="54" t="s">
        <v>185</v>
      </c>
      <c r="D57" s="3"/>
      <c r="E57" s="3" t="s">
        <v>95</v>
      </c>
      <c r="F57" s="3" t="s">
        <v>177</v>
      </c>
      <c r="G57" s="3" t="s">
        <v>186</v>
      </c>
      <c r="H57" s="92"/>
      <c r="I57" s="92"/>
      <c r="J57" s="92">
        <v>3</v>
      </c>
      <c r="K57" s="92"/>
      <c r="L57" s="92"/>
    </row>
    <row r="58" spans="1:12" s="52" customFormat="1" ht="16.5">
      <c r="A58" s="76" t="s">
        <v>418</v>
      </c>
      <c r="B58" s="34" t="s">
        <v>229</v>
      </c>
      <c r="C58" s="54" t="s">
        <v>235</v>
      </c>
      <c r="D58" s="2"/>
      <c r="E58" s="2" t="s">
        <v>95</v>
      </c>
      <c r="F58" s="2" t="s">
        <v>120</v>
      </c>
      <c r="G58" s="2" t="s">
        <v>236</v>
      </c>
      <c r="H58" s="92"/>
      <c r="I58" s="92"/>
      <c r="J58" s="92">
        <v>2</v>
      </c>
      <c r="K58" s="92"/>
      <c r="L58" s="92" t="s">
        <v>184</v>
      </c>
    </row>
    <row r="59" spans="1:12" s="52" customFormat="1" ht="16.5">
      <c r="A59" s="76" t="s">
        <v>418</v>
      </c>
      <c r="B59" s="34" t="s">
        <v>229</v>
      </c>
      <c r="C59" s="56" t="s">
        <v>237</v>
      </c>
      <c r="D59" s="2"/>
      <c r="E59" s="2" t="s">
        <v>95</v>
      </c>
      <c r="F59" s="2" t="s">
        <v>120</v>
      </c>
      <c r="G59" s="2" t="s">
        <v>236</v>
      </c>
      <c r="H59" s="91"/>
      <c r="I59" s="91"/>
      <c r="J59" s="91">
        <v>8</v>
      </c>
      <c r="K59" s="56"/>
      <c r="L59" s="56" t="s">
        <v>238</v>
      </c>
    </row>
    <row r="60" spans="1:12" s="52" customFormat="1" ht="16.5">
      <c r="A60" s="76" t="s">
        <v>418</v>
      </c>
      <c r="B60" s="34" t="s">
        <v>229</v>
      </c>
      <c r="C60" s="54" t="s">
        <v>239</v>
      </c>
      <c r="D60" s="2"/>
      <c r="E60" s="2" t="s">
        <v>95</v>
      </c>
      <c r="F60" s="2" t="s">
        <v>120</v>
      </c>
      <c r="G60" s="2" t="s">
        <v>146</v>
      </c>
      <c r="H60" s="92"/>
      <c r="I60" s="92"/>
      <c r="J60" s="92">
        <v>1</v>
      </c>
      <c r="K60" s="92"/>
      <c r="L60" s="92"/>
    </row>
    <row r="61" spans="1:12" s="52" customFormat="1" ht="16.5">
      <c r="A61" s="76" t="s">
        <v>418</v>
      </c>
      <c r="B61" s="34" t="s">
        <v>229</v>
      </c>
      <c r="C61" s="56" t="s">
        <v>240</v>
      </c>
      <c r="D61" s="2"/>
      <c r="E61" s="2" t="s">
        <v>95</v>
      </c>
      <c r="F61" s="2" t="s">
        <v>120</v>
      </c>
      <c r="G61" s="2" t="s">
        <v>236</v>
      </c>
      <c r="H61" s="91"/>
      <c r="I61" s="91"/>
      <c r="J61" s="91">
        <v>1</v>
      </c>
      <c r="K61" s="91"/>
      <c r="L61" s="91"/>
    </row>
    <row r="62" spans="1:12" s="52" customFormat="1" ht="16.5">
      <c r="A62" s="76" t="s">
        <v>418</v>
      </c>
      <c r="B62" s="34" t="s">
        <v>229</v>
      </c>
      <c r="C62" s="54" t="s">
        <v>241</v>
      </c>
      <c r="D62" s="2"/>
      <c r="E62" s="2" t="s">
        <v>95</v>
      </c>
      <c r="F62" s="2" t="s">
        <v>120</v>
      </c>
      <c r="G62" s="2" t="s">
        <v>146</v>
      </c>
      <c r="H62" s="92"/>
      <c r="I62" s="92"/>
      <c r="J62" s="92">
        <v>2</v>
      </c>
      <c r="K62" s="92"/>
      <c r="L62" s="92" t="s">
        <v>184</v>
      </c>
    </row>
    <row r="63" spans="1:12" s="52" customFormat="1" ht="16.5">
      <c r="A63" s="76" t="s">
        <v>418</v>
      </c>
      <c r="B63" s="34" t="s">
        <v>229</v>
      </c>
      <c r="C63" s="56" t="s">
        <v>242</v>
      </c>
      <c r="D63" s="2"/>
      <c r="E63" s="2" t="s">
        <v>95</v>
      </c>
      <c r="F63" s="2" t="s">
        <v>120</v>
      </c>
      <c r="G63" s="2" t="s">
        <v>146</v>
      </c>
      <c r="H63" s="91"/>
      <c r="I63" s="91"/>
      <c r="J63" s="91">
        <v>1</v>
      </c>
      <c r="K63" s="91"/>
      <c r="L63" s="91"/>
    </row>
    <row r="64" spans="1:12" s="52" customFormat="1" ht="16.5">
      <c r="A64" s="76" t="s">
        <v>418</v>
      </c>
      <c r="B64" s="34" t="s">
        <v>229</v>
      </c>
      <c r="C64" s="54" t="s">
        <v>243</v>
      </c>
      <c r="D64" s="2"/>
      <c r="E64" s="2" t="s">
        <v>95</v>
      </c>
      <c r="F64" s="2" t="s">
        <v>120</v>
      </c>
      <c r="G64" s="2" t="s">
        <v>142</v>
      </c>
      <c r="H64" s="92"/>
      <c r="I64" s="92"/>
      <c r="J64" s="92">
        <v>1</v>
      </c>
      <c r="K64" s="92"/>
      <c r="L64" s="92"/>
    </row>
    <row r="65" spans="1:12" s="52" customFormat="1" ht="16.5">
      <c r="A65" s="76" t="s">
        <v>418</v>
      </c>
      <c r="B65" s="34" t="s">
        <v>229</v>
      </c>
      <c r="C65" s="56" t="s">
        <v>244</v>
      </c>
      <c r="D65" s="2"/>
      <c r="E65" s="2" t="s">
        <v>95</v>
      </c>
      <c r="F65" s="2" t="s">
        <v>120</v>
      </c>
      <c r="G65" s="2" t="s">
        <v>142</v>
      </c>
      <c r="H65" s="91"/>
      <c r="I65" s="91"/>
      <c r="J65" s="91">
        <v>2</v>
      </c>
      <c r="K65" s="56"/>
      <c r="L65" s="56" t="s">
        <v>184</v>
      </c>
    </row>
    <row r="66" spans="1:12" s="52" customFormat="1" ht="16.5">
      <c r="A66" s="76" t="s">
        <v>418</v>
      </c>
      <c r="B66" s="34" t="s">
        <v>229</v>
      </c>
      <c r="C66" s="54" t="s">
        <v>426</v>
      </c>
      <c r="D66" s="2"/>
      <c r="E66" s="2" t="s">
        <v>95</v>
      </c>
      <c r="F66" s="2" t="s">
        <v>177</v>
      </c>
      <c r="G66" s="2" t="s">
        <v>226</v>
      </c>
      <c r="H66" s="92"/>
      <c r="I66" s="92"/>
      <c r="J66" s="92">
        <v>1</v>
      </c>
      <c r="K66" s="92"/>
      <c r="L66" s="92"/>
    </row>
    <row r="67" spans="1:12" s="52" customFormat="1" ht="16.5">
      <c r="A67" s="76" t="s">
        <v>418</v>
      </c>
      <c r="B67" s="34" t="s">
        <v>229</v>
      </c>
      <c r="C67" s="56" t="s">
        <v>245</v>
      </c>
      <c r="D67" s="2"/>
      <c r="E67" s="2" t="s">
        <v>95</v>
      </c>
      <c r="F67" s="2" t="s">
        <v>177</v>
      </c>
      <c r="G67" s="2" t="s">
        <v>186</v>
      </c>
      <c r="H67" s="91"/>
      <c r="I67" s="91"/>
      <c r="J67" s="91">
        <v>3</v>
      </c>
      <c r="K67" s="91"/>
      <c r="L67" s="91"/>
    </row>
    <row r="68" spans="1:12" s="52" customFormat="1" ht="16.5">
      <c r="A68" s="76" t="s">
        <v>418</v>
      </c>
      <c r="B68" s="34" t="s">
        <v>229</v>
      </c>
      <c r="C68" s="54" t="s">
        <v>246</v>
      </c>
      <c r="D68" s="2"/>
      <c r="E68" s="2" t="s">
        <v>95</v>
      </c>
      <c r="F68" s="2" t="s">
        <v>120</v>
      </c>
      <c r="G68" s="2" t="s">
        <v>146</v>
      </c>
      <c r="H68" s="92"/>
      <c r="I68" s="92"/>
      <c r="J68" s="92">
        <v>1</v>
      </c>
      <c r="K68" s="92"/>
      <c r="L68" s="92"/>
    </row>
    <row r="69" spans="1:12" s="52" customFormat="1" ht="16.5">
      <c r="A69" s="76" t="s">
        <v>418</v>
      </c>
      <c r="B69" s="34" t="s">
        <v>229</v>
      </c>
      <c r="C69" s="56" t="s">
        <v>427</v>
      </c>
      <c r="D69" s="2"/>
      <c r="E69" s="2" t="s">
        <v>95</v>
      </c>
      <c r="F69" s="2" t="s">
        <v>177</v>
      </c>
      <c r="G69" s="2" t="s">
        <v>247</v>
      </c>
      <c r="H69" s="91"/>
      <c r="I69" s="91"/>
      <c r="J69" s="91">
        <v>1</v>
      </c>
      <c r="K69" s="91"/>
      <c r="L69" s="91"/>
    </row>
    <row r="70" spans="1:12" s="52" customFormat="1" ht="16.5">
      <c r="A70" s="76" t="s">
        <v>418</v>
      </c>
      <c r="B70" s="34" t="s">
        <v>229</v>
      </c>
      <c r="C70" s="54" t="s">
        <v>248</v>
      </c>
      <c r="D70" s="2"/>
      <c r="E70" s="2" t="s">
        <v>95</v>
      </c>
      <c r="F70" s="2" t="s">
        <v>139</v>
      </c>
      <c r="G70" s="2" t="s">
        <v>249</v>
      </c>
      <c r="H70" s="92"/>
      <c r="I70" s="92"/>
      <c r="J70" s="92">
        <v>2</v>
      </c>
      <c r="K70" s="54"/>
      <c r="L70" s="54" t="s">
        <v>227</v>
      </c>
    </row>
    <row r="71" spans="1:12" ht="16.5">
      <c r="A71" s="76" t="s">
        <v>418</v>
      </c>
      <c r="B71" s="34" t="s">
        <v>255</v>
      </c>
      <c r="C71" s="56" t="s">
        <v>442</v>
      </c>
      <c r="D71" s="3"/>
      <c r="E71" s="3" t="s">
        <v>95</v>
      </c>
      <c r="F71" s="3" t="s">
        <v>120</v>
      </c>
      <c r="G71" s="3" t="s">
        <v>267</v>
      </c>
      <c r="H71" s="91"/>
      <c r="I71" s="91"/>
      <c r="J71" s="91">
        <v>1</v>
      </c>
      <c r="K71" s="91"/>
      <c r="L71" s="91"/>
    </row>
    <row r="72" spans="1:12" ht="16.5">
      <c r="A72" s="76" t="s">
        <v>418</v>
      </c>
      <c r="B72" s="34" t="s">
        <v>255</v>
      </c>
      <c r="C72" s="54" t="s">
        <v>268</v>
      </c>
      <c r="D72" s="3"/>
      <c r="E72" s="3" t="s">
        <v>95</v>
      </c>
      <c r="F72" s="3" t="s">
        <v>177</v>
      </c>
      <c r="G72" s="3" t="s">
        <v>247</v>
      </c>
      <c r="H72" s="92"/>
      <c r="I72" s="92"/>
      <c r="J72" s="92">
        <v>1</v>
      </c>
      <c r="K72" s="54"/>
      <c r="L72" s="54" t="s">
        <v>269</v>
      </c>
    </row>
    <row r="73" spans="1:12" ht="16.5">
      <c r="A73" s="76" t="s">
        <v>418</v>
      </c>
      <c r="B73" s="34" t="s">
        <v>255</v>
      </c>
      <c r="C73" s="56" t="s">
        <v>235</v>
      </c>
      <c r="D73" s="3"/>
      <c r="E73" s="3" t="s">
        <v>95</v>
      </c>
      <c r="F73" s="3" t="s">
        <v>120</v>
      </c>
      <c r="G73" s="3" t="s">
        <v>236</v>
      </c>
      <c r="H73" s="91"/>
      <c r="I73" s="91"/>
      <c r="J73" s="91">
        <v>7</v>
      </c>
      <c r="K73" s="56"/>
      <c r="L73" s="56" t="s">
        <v>270</v>
      </c>
    </row>
    <row r="74" spans="1:12" ht="16.5">
      <c r="A74" s="76" t="s">
        <v>418</v>
      </c>
      <c r="B74" s="34" t="s">
        <v>255</v>
      </c>
      <c r="C74" s="54" t="s">
        <v>271</v>
      </c>
      <c r="D74" s="3"/>
      <c r="E74" s="3" t="s">
        <v>95</v>
      </c>
      <c r="F74" s="3" t="s">
        <v>120</v>
      </c>
      <c r="G74" s="3" t="s">
        <v>236</v>
      </c>
      <c r="H74" s="92"/>
      <c r="I74" s="92"/>
      <c r="J74" s="92">
        <v>1</v>
      </c>
      <c r="K74" s="92"/>
      <c r="L74" s="92"/>
    </row>
    <row r="75" spans="1:12" ht="16.5">
      <c r="A75" s="76" t="s">
        <v>418</v>
      </c>
      <c r="B75" s="34" t="s">
        <v>255</v>
      </c>
      <c r="C75" s="56" t="s">
        <v>443</v>
      </c>
      <c r="D75" s="3"/>
      <c r="E75" s="3" t="s">
        <v>95</v>
      </c>
      <c r="F75" s="3" t="s">
        <v>120</v>
      </c>
      <c r="G75" s="3" t="s">
        <v>236</v>
      </c>
      <c r="H75" s="91"/>
      <c r="I75" s="91"/>
      <c r="J75" s="91">
        <v>1</v>
      </c>
      <c r="K75" s="91"/>
      <c r="L75" s="91"/>
    </row>
    <row r="76" spans="1:12" ht="16.5">
      <c r="A76" s="76" t="s">
        <v>418</v>
      </c>
      <c r="B76" s="34" t="s">
        <v>255</v>
      </c>
      <c r="C76" s="54" t="s">
        <v>237</v>
      </c>
      <c r="D76" s="3"/>
      <c r="E76" s="3" t="s">
        <v>95</v>
      </c>
      <c r="F76" s="3" t="s">
        <v>120</v>
      </c>
      <c r="G76" s="3" t="s">
        <v>236</v>
      </c>
      <c r="H76" s="92"/>
      <c r="I76" s="92"/>
      <c r="J76" s="92">
        <v>5</v>
      </c>
      <c r="K76" s="92"/>
      <c r="L76" s="92" t="s">
        <v>272</v>
      </c>
    </row>
    <row r="77" spans="1:12" ht="16.5">
      <c r="A77" s="76" t="s">
        <v>418</v>
      </c>
      <c r="B77" s="34" t="s">
        <v>255</v>
      </c>
      <c r="C77" s="56" t="s">
        <v>444</v>
      </c>
      <c r="D77" s="3"/>
      <c r="E77" s="3" t="s">
        <v>95</v>
      </c>
      <c r="F77" s="3" t="s">
        <v>120</v>
      </c>
      <c r="G77" s="3" t="s">
        <v>236</v>
      </c>
      <c r="H77" s="91"/>
      <c r="I77" s="91"/>
      <c r="J77" s="91">
        <v>1</v>
      </c>
      <c r="K77" s="91"/>
      <c r="L77" s="91"/>
    </row>
    <row r="78" spans="1:12" ht="16.5">
      <c r="A78" s="76" t="s">
        <v>418</v>
      </c>
      <c r="B78" s="34" t="s">
        <v>255</v>
      </c>
      <c r="C78" s="54" t="s">
        <v>273</v>
      </c>
      <c r="D78" s="3"/>
      <c r="E78" s="3" t="s">
        <v>95</v>
      </c>
      <c r="F78" s="3" t="s">
        <v>120</v>
      </c>
      <c r="G78" s="3" t="s">
        <v>142</v>
      </c>
      <c r="H78" s="92"/>
      <c r="I78" s="92"/>
      <c r="J78" s="92">
        <v>1</v>
      </c>
      <c r="K78" s="92"/>
      <c r="L78" s="92"/>
    </row>
    <row r="79" spans="1:12" ht="16.5">
      <c r="A79" s="76" t="s">
        <v>418</v>
      </c>
      <c r="B79" s="34" t="s">
        <v>255</v>
      </c>
      <c r="C79" s="56" t="s">
        <v>241</v>
      </c>
      <c r="D79" s="3"/>
      <c r="E79" s="3" t="s">
        <v>95</v>
      </c>
      <c r="F79" s="3" t="s">
        <v>120</v>
      </c>
      <c r="G79" s="3" t="s">
        <v>146</v>
      </c>
      <c r="H79" s="91"/>
      <c r="I79" s="91"/>
      <c r="J79" s="91">
        <v>4</v>
      </c>
      <c r="K79" s="91"/>
      <c r="L79" s="91"/>
    </row>
    <row r="80" spans="1:12" ht="16.5">
      <c r="A80" s="76" t="s">
        <v>418</v>
      </c>
      <c r="B80" s="34" t="s">
        <v>304</v>
      </c>
      <c r="C80" s="65" t="s">
        <v>307</v>
      </c>
      <c r="D80" s="3"/>
      <c r="E80" s="3" t="s">
        <v>95</v>
      </c>
      <c r="F80" s="3" t="s">
        <v>120</v>
      </c>
      <c r="G80" s="3" t="s">
        <v>207</v>
      </c>
      <c r="H80" s="92"/>
      <c r="I80" s="92"/>
      <c r="J80" s="92">
        <v>1</v>
      </c>
      <c r="K80" s="54"/>
      <c r="L80" s="54" t="s">
        <v>308</v>
      </c>
    </row>
    <row r="81" spans="1:12" ht="16.5">
      <c r="A81" s="76" t="s">
        <v>418</v>
      </c>
      <c r="B81" s="34" t="s">
        <v>304</v>
      </c>
      <c r="C81" s="56" t="s">
        <v>309</v>
      </c>
      <c r="D81" s="3"/>
      <c r="E81" s="3" t="s">
        <v>95</v>
      </c>
      <c r="F81" s="3" t="s">
        <v>120</v>
      </c>
      <c r="G81" s="3" t="s">
        <v>236</v>
      </c>
      <c r="H81" s="91"/>
      <c r="I81" s="91"/>
      <c r="J81" s="91">
        <v>1</v>
      </c>
      <c r="K81" s="91"/>
      <c r="L81" s="91"/>
    </row>
    <row r="82" spans="1:12" ht="16.5">
      <c r="A82" s="76" t="s">
        <v>418</v>
      </c>
      <c r="B82" s="34" t="s">
        <v>332</v>
      </c>
      <c r="C82" s="56" t="s">
        <v>347</v>
      </c>
      <c r="D82" s="3"/>
      <c r="E82" s="3" t="s">
        <v>95</v>
      </c>
      <c r="F82" s="3" t="s">
        <v>120</v>
      </c>
      <c r="G82" s="3" t="s">
        <v>207</v>
      </c>
      <c r="H82" s="91"/>
      <c r="I82" s="91"/>
      <c r="J82" s="91">
        <v>3</v>
      </c>
      <c r="K82" s="91"/>
      <c r="L82" s="91"/>
    </row>
    <row r="83" spans="1:12" ht="16.5">
      <c r="A83" s="76" t="s">
        <v>418</v>
      </c>
      <c r="B83" s="34" t="s">
        <v>332</v>
      </c>
      <c r="C83" s="54" t="s">
        <v>348</v>
      </c>
      <c r="D83" s="3"/>
      <c r="E83" s="3" t="s">
        <v>95</v>
      </c>
      <c r="F83" s="3" t="s">
        <v>120</v>
      </c>
      <c r="G83" s="3" t="s">
        <v>207</v>
      </c>
      <c r="H83" s="92"/>
      <c r="I83" s="92"/>
      <c r="J83" s="92">
        <v>1</v>
      </c>
      <c r="K83" s="54"/>
      <c r="L83" s="54"/>
    </row>
    <row r="84" spans="1:12" ht="16.5">
      <c r="A84" s="76" t="s">
        <v>418</v>
      </c>
      <c r="B84" s="34" t="s">
        <v>332</v>
      </c>
      <c r="C84" s="56" t="s">
        <v>309</v>
      </c>
      <c r="D84" s="3"/>
      <c r="E84" s="3" t="s">
        <v>95</v>
      </c>
      <c r="F84" s="3" t="s">
        <v>120</v>
      </c>
      <c r="G84" s="3" t="s">
        <v>236</v>
      </c>
      <c r="H84" s="91"/>
      <c r="I84" s="91"/>
      <c r="J84" s="91">
        <v>1</v>
      </c>
      <c r="K84" s="91"/>
      <c r="L84" s="91"/>
    </row>
    <row r="85" spans="1:12" ht="16.5">
      <c r="A85" s="76" t="s">
        <v>418</v>
      </c>
      <c r="B85" s="34" t="s">
        <v>332</v>
      </c>
      <c r="C85" s="54" t="s">
        <v>349</v>
      </c>
      <c r="D85" s="3"/>
      <c r="E85" s="3" t="s">
        <v>95</v>
      </c>
      <c r="F85" s="3" t="s">
        <v>120</v>
      </c>
      <c r="G85" s="3" t="s">
        <v>142</v>
      </c>
      <c r="H85" s="92"/>
      <c r="I85" s="92"/>
      <c r="J85" s="92">
        <v>1</v>
      </c>
      <c r="K85" s="54"/>
      <c r="L85" s="54"/>
    </row>
    <row r="86" spans="1:12" ht="16.5">
      <c r="A86" s="76" t="s">
        <v>418</v>
      </c>
      <c r="B86" s="34" t="s">
        <v>332</v>
      </c>
      <c r="C86" s="56" t="s">
        <v>183</v>
      </c>
      <c r="D86" s="3"/>
      <c r="E86" s="3" t="s">
        <v>95</v>
      </c>
      <c r="F86" s="3" t="s">
        <v>177</v>
      </c>
      <c r="G86" s="3"/>
      <c r="H86" s="91"/>
      <c r="I86" s="91"/>
      <c r="J86" s="91">
        <v>1</v>
      </c>
      <c r="K86" s="91"/>
      <c r="L86" s="91"/>
    </row>
    <row r="87" spans="1:12" ht="16.5">
      <c r="A87" s="76" t="s">
        <v>418</v>
      </c>
      <c r="B87" s="34" t="s">
        <v>353</v>
      </c>
      <c r="C87" s="54" t="s">
        <v>356</v>
      </c>
      <c r="D87" s="3"/>
      <c r="E87" s="3" t="s">
        <v>95</v>
      </c>
      <c r="F87" s="3" t="s">
        <v>120</v>
      </c>
      <c r="G87" s="3" t="s">
        <v>142</v>
      </c>
      <c r="H87" s="92"/>
      <c r="I87" s="92"/>
      <c r="J87" s="92">
        <v>2</v>
      </c>
      <c r="K87" s="54"/>
      <c r="L87" s="54"/>
    </row>
    <row r="88" spans="1:12" ht="16.5">
      <c r="A88" s="76" t="s">
        <v>418</v>
      </c>
      <c r="B88" s="34" t="s">
        <v>353</v>
      </c>
      <c r="C88" s="56" t="s">
        <v>357</v>
      </c>
      <c r="D88" s="3"/>
      <c r="E88" s="3" t="s">
        <v>95</v>
      </c>
      <c r="F88" s="3" t="s">
        <v>96</v>
      </c>
      <c r="G88" s="3" t="s">
        <v>107</v>
      </c>
      <c r="H88" s="91"/>
      <c r="I88" s="91"/>
      <c r="J88" s="91">
        <v>2</v>
      </c>
      <c r="K88" s="91"/>
      <c r="L88" s="91"/>
    </row>
    <row r="89" spans="1:12" ht="16.5">
      <c r="A89" s="76" t="s">
        <v>418</v>
      </c>
      <c r="B89" s="34" t="s">
        <v>353</v>
      </c>
      <c r="C89" s="54" t="s">
        <v>187</v>
      </c>
      <c r="D89" s="3"/>
      <c r="E89" s="3" t="s">
        <v>95</v>
      </c>
      <c r="F89" s="3" t="s">
        <v>120</v>
      </c>
      <c r="G89" s="3" t="s">
        <v>142</v>
      </c>
      <c r="H89" s="92"/>
      <c r="I89" s="92"/>
      <c r="J89" s="92">
        <v>4</v>
      </c>
      <c r="K89" s="54"/>
      <c r="L89" s="54" t="s">
        <v>184</v>
      </c>
    </row>
    <row r="90" spans="1:12" ht="16.5">
      <c r="A90" s="76" t="s">
        <v>418</v>
      </c>
      <c r="B90" s="34" t="s">
        <v>353</v>
      </c>
      <c r="C90" s="56" t="s">
        <v>358</v>
      </c>
      <c r="D90" s="3"/>
      <c r="E90" s="3" t="s">
        <v>95</v>
      </c>
      <c r="F90" s="3" t="s">
        <v>120</v>
      </c>
      <c r="G90" s="3" t="s">
        <v>182</v>
      </c>
      <c r="H90" s="91"/>
      <c r="I90" s="91"/>
      <c r="J90" s="91">
        <v>2</v>
      </c>
      <c r="K90" s="91"/>
      <c r="L90" s="91"/>
    </row>
    <row r="91" spans="1:12" ht="16.5">
      <c r="A91" s="76" t="s">
        <v>418</v>
      </c>
      <c r="B91" s="34" t="s">
        <v>353</v>
      </c>
      <c r="C91" s="54" t="s">
        <v>359</v>
      </c>
      <c r="D91" s="3"/>
      <c r="E91" s="3" t="s">
        <v>95</v>
      </c>
      <c r="F91" s="3" t="s">
        <v>120</v>
      </c>
      <c r="G91" s="3" t="s">
        <v>142</v>
      </c>
      <c r="H91" s="92"/>
      <c r="I91" s="92"/>
      <c r="J91" s="92">
        <v>1</v>
      </c>
      <c r="K91" s="54"/>
      <c r="L91" s="54"/>
    </row>
    <row r="92" spans="1:12" ht="16.5">
      <c r="A92" s="76" t="s">
        <v>418</v>
      </c>
      <c r="B92" s="34" t="s">
        <v>353</v>
      </c>
      <c r="C92" s="56" t="s">
        <v>360</v>
      </c>
      <c r="D92" s="3"/>
      <c r="E92" s="3" t="s">
        <v>95</v>
      </c>
      <c r="F92" s="3" t="s">
        <v>120</v>
      </c>
      <c r="G92" s="3" t="s">
        <v>267</v>
      </c>
      <c r="H92" s="91"/>
      <c r="I92" s="91"/>
      <c r="J92" s="91">
        <v>1</v>
      </c>
      <c r="K92" s="91"/>
      <c r="L92" s="91"/>
    </row>
    <row r="93" spans="1:12" ht="16.5">
      <c r="A93" s="76" t="s">
        <v>418</v>
      </c>
      <c r="B93" s="34" t="s">
        <v>353</v>
      </c>
      <c r="C93" s="70" t="s">
        <v>361</v>
      </c>
      <c r="D93" s="3"/>
      <c r="E93" s="3" t="s">
        <v>95</v>
      </c>
      <c r="F93" s="3" t="s">
        <v>189</v>
      </c>
      <c r="G93" s="3"/>
      <c r="H93" s="92"/>
      <c r="I93" s="92"/>
      <c r="J93" s="92">
        <v>1</v>
      </c>
      <c r="K93" s="54"/>
      <c r="L93" s="54"/>
    </row>
    <row r="94" spans="1:12" ht="16.5">
      <c r="A94" s="76" t="s">
        <v>418</v>
      </c>
      <c r="B94" s="34" t="s">
        <v>353</v>
      </c>
      <c r="C94" s="56" t="s">
        <v>362</v>
      </c>
      <c r="D94" s="3"/>
      <c r="E94" s="3" t="s">
        <v>95</v>
      </c>
      <c r="F94" s="3" t="s">
        <v>96</v>
      </c>
      <c r="G94" s="3" t="s">
        <v>107</v>
      </c>
      <c r="H94" s="91"/>
      <c r="I94" s="91"/>
      <c r="J94" s="91">
        <v>1</v>
      </c>
      <c r="K94" s="91"/>
      <c r="L94" s="91"/>
    </row>
    <row r="95" spans="1:12" ht="16.5">
      <c r="A95" s="76" t="s">
        <v>418</v>
      </c>
      <c r="B95" s="34" t="s">
        <v>353</v>
      </c>
      <c r="C95" s="54" t="s">
        <v>349</v>
      </c>
      <c r="D95" s="3"/>
      <c r="E95" s="3" t="s">
        <v>95</v>
      </c>
      <c r="F95" s="3" t="s">
        <v>120</v>
      </c>
      <c r="G95" s="3" t="s">
        <v>142</v>
      </c>
      <c r="H95" s="92"/>
      <c r="I95" s="92"/>
      <c r="J95" s="92">
        <v>8</v>
      </c>
      <c r="K95" s="54"/>
      <c r="L95" s="54" t="s">
        <v>192</v>
      </c>
    </row>
    <row r="96" spans="1:12" ht="16.5">
      <c r="A96" s="76" t="s">
        <v>418</v>
      </c>
      <c r="B96" s="34" t="s">
        <v>372</v>
      </c>
      <c r="C96" s="56" t="s">
        <v>386</v>
      </c>
      <c r="D96" s="3"/>
      <c r="E96" s="3" t="s">
        <v>95</v>
      </c>
      <c r="F96" s="3" t="s">
        <v>120</v>
      </c>
      <c r="G96" s="3" t="s">
        <v>387</v>
      </c>
      <c r="H96" s="91"/>
      <c r="I96" s="91"/>
      <c r="J96" s="91">
        <v>7</v>
      </c>
      <c r="K96" s="91"/>
      <c r="L96" s="91"/>
    </row>
    <row r="97" spans="1:12" ht="16.5">
      <c r="A97" s="76" t="s">
        <v>418</v>
      </c>
      <c r="B97" s="34" t="s">
        <v>372</v>
      </c>
      <c r="C97" s="54" t="s">
        <v>388</v>
      </c>
      <c r="D97" s="3"/>
      <c r="E97" s="3" t="s">
        <v>95</v>
      </c>
      <c r="F97" s="3" t="s">
        <v>120</v>
      </c>
      <c r="G97" s="3" t="s">
        <v>207</v>
      </c>
      <c r="H97" s="92"/>
      <c r="I97" s="92"/>
      <c r="J97" s="92">
        <v>3</v>
      </c>
      <c r="K97" s="54"/>
      <c r="L97" s="54"/>
    </row>
    <row r="98" spans="1:12" ht="16.5">
      <c r="A98" s="76" t="s">
        <v>418</v>
      </c>
      <c r="B98" s="34" t="s">
        <v>372</v>
      </c>
      <c r="C98" s="56" t="s">
        <v>389</v>
      </c>
      <c r="D98" s="3"/>
      <c r="E98" s="3" t="s">
        <v>95</v>
      </c>
      <c r="F98" s="3" t="s">
        <v>120</v>
      </c>
      <c r="G98" s="3" t="s">
        <v>207</v>
      </c>
      <c r="H98" s="91"/>
      <c r="I98" s="91"/>
      <c r="J98" s="91">
        <v>1</v>
      </c>
      <c r="K98" s="91"/>
      <c r="L98" s="91"/>
    </row>
    <row r="99" spans="1:12" ht="16.5">
      <c r="A99" s="76" t="s">
        <v>418</v>
      </c>
      <c r="B99" s="34" t="s">
        <v>372</v>
      </c>
      <c r="C99" s="54" t="s">
        <v>357</v>
      </c>
      <c r="D99" s="3"/>
      <c r="E99" s="3" t="s">
        <v>95</v>
      </c>
      <c r="F99" s="3" t="s">
        <v>96</v>
      </c>
      <c r="G99" s="3" t="s">
        <v>107</v>
      </c>
      <c r="H99" s="92"/>
      <c r="I99" s="92"/>
      <c r="J99" s="92">
        <v>2</v>
      </c>
      <c r="K99" s="54"/>
      <c r="L99" s="54"/>
    </row>
    <row r="100" spans="1:12" ht="16.5">
      <c r="A100" s="76" t="s">
        <v>418</v>
      </c>
      <c r="B100" s="34" t="s">
        <v>372</v>
      </c>
      <c r="C100" s="56" t="s">
        <v>390</v>
      </c>
      <c r="D100" s="3"/>
      <c r="E100" s="3" t="s">
        <v>95</v>
      </c>
      <c r="F100" s="3" t="s">
        <v>120</v>
      </c>
      <c r="G100" s="3" t="s">
        <v>236</v>
      </c>
      <c r="H100" s="91"/>
      <c r="I100" s="91"/>
      <c r="J100" s="91">
        <v>3</v>
      </c>
      <c r="K100" s="91"/>
      <c r="L100" s="91"/>
    </row>
    <row r="101" spans="1:12" ht="16.5">
      <c r="A101" s="76" t="s">
        <v>418</v>
      </c>
      <c r="B101" s="34" t="s">
        <v>372</v>
      </c>
      <c r="C101" s="54" t="s">
        <v>391</v>
      </c>
      <c r="D101" s="3"/>
      <c r="E101" s="3" t="s">
        <v>95</v>
      </c>
      <c r="F101" s="3" t="s">
        <v>120</v>
      </c>
      <c r="G101" s="3" t="s">
        <v>236</v>
      </c>
      <c r="H101" s="92"/>
      <c r="I101" s="92"/>
      <c r="J101" s="92">
        <v>30</v>
      </c>
      <c r="K101" s="54"/>
      <c r="L101" s="54"/>
    </row>
    <row r="102" spans="1:12" ht="16.5">
      <c r="A102" s="76" t="s">
        <v>418</v>
      </c>
      <c r="B102" s="34" t="s">
        <v>372</v>
      </c>
      <c r="C102" s="56" t="s">
        <v>392</v>
      </c>
      <c r="D102" s="3"/>
      <c r="E102" s="3" t="s">
        <v>95</v>
      </c>
      <c r="F102" s="3" t="s">
        <v>120</v>
      </c>
      <c r="G102" s="3" t="s">
        <v>146</v>
      </c>
      <c r="H102" s="91"/>
      <c r="I102" s="91"/>
      <c r="J102" s="91">
        <v>2</v>
      </c>
      <c r="K102" s="91"/>
      <c r="L102" s="91"/>
    </row>
    <row r="103" spans="1:12" ht="16.5">
      <c r="A103" s="76" t="s">
        <v>418</v>
      </c>
      <c r="B103" s="34" t="s">
        <v>372</v>
      </c>
      <c r="C103" s="54" t="s">
        <v>393</v>
      </c>
      <c r="D103" s="3"/>
      <c r="E103" s="3" t="s">
        <v>95</v>
      </c>
      <c r="F103" s="3" t="s">
        <v>120</v>
      </c>
      <c r="G103" s="3" t="s">
        <v>142</v>
      </c>
      <c r="H103" s="92"/>
      <c r="I103" s="92"/>
      <c r="J103" s="92">
        <v>9</v>
      </c>
      <c r="K103" s="54"/>
      <c r="L103" s="54"/>
    </row>
    <row r="104" spans="1:12" ht="16.5">
      <c r="A104" s="76" t="s">
        <v>418</v>
      </c>
      <c r="B104" s="34" t="s">
        <v>372</v>
      </c>
      <c r="C104" s="56" t="s">
        <v>349</v>
      </c>
      <c r="D104" s="3"/>
      <c r="E104" s="3" t="s">
        <v>95</v>
      </c>
      <c r="F104" s="3" t="s">
        <v>120</v>
      </c>
      <c r="G104" s="3" t="s">
        <v>142</v>
      </c>
      <c r="H104" s="91"/>
      <c r="I104" s="91"/>
      <c r="J104" s="91">
        <v>7</v>
      </c>
      <c r="K104" s="56"/>
      <c r="L104" s="56" t="s">
        <v>394</v>
      </c>
    </row>
    <row r="105" spans="1:12" ht="16.5">
      <c r="A105" s="76" t="s">
        <v>418</v>
      </c>
      <c r="B105" s="34" t="s">
        <v>406</v>
      </c>
      <c r="C105" s="54" t="s">
        <v>188</v>
      </c>
      <c r="D105" s="3"/>
      <c r="E105" s="3" t="s">
        <v>95</v>
      </c>
      <c r="F105" s="3" t="s">
        <v>189</v>
      </c>
      <c r="G105" s="3"/>
      <c r="H105" s="92"/>
      <c r="I105" s="92"/>
      <c r="J105" s="92">
        <v>19</v>
      </c>
      <c r="K105" s="54"/>
      <c r="L105" s="54" t="s">
        <v>407</v>
      </c>
    </row>
    <row r="106" spans="1:12" ht="16.5">
      <c r="A106" s="76" t="s">
        <v>418</v>
      </c>
      <c r="B106" s="34" t="s">
        <v>406</v>
      </c>
      <c r="C106" s="56" t="s">
        <v>408</v>
      </c>
      <c r="D106" s="3"/>
      <c r="E106" s="3" t="s">
        <v>95</v>
      </c>
      <c r="F106" s="3" t="s">
        <v>222</v>
      </c>
      <c r="G106" s="3" t="s">
        <v>409</v>
      </c>
      <c r="H106" s="91"/>
      <c r="I106" s="91"/>
      <c r="J106" s="91">
        <v>9</v>
      </c>
      <c r="K106" s="91"/>
      <c r="L106" s="91"/>
    </row>
    <row r="107" spans="1:12" ht="16.5">
      <c r="A107" s="76" t="s">
        <v>418</v>
      </c>
      <c r="B107" s="34" t="s">
        <v>406</v>
      </c>
      <c r="C107" s="54" t="s">
        <v>220</v>
      </c>
      <c r="D107" s="3"/>
      <c r="E107" s="3" t="s">
        <v>95</v>
      </c>
      <c r="F107" s="3" t="s">
        <v>120</v>
      </c>
      <c r="G107" s="3"/>
      <c r="H107" s="92"/>
      <c r="I107" s="92"/>
      <c r="J107" s="92">
        <v>4</v>
      </c>
      <c r="K107" s="54"/>
      <c r="L107" s="54"/>
    </row>
    <row r="108" spans="1:12" ht="16.5">
      <c r="A108" s="76" t="s">
        <v>418</v>
      </c>
      <c r="B108" s="34" t="s">
        <v>406</v>
      </c>
      <c r="C108" s="56" t="s">
        <v>183</v>
      </c>
      <c r="D108" s="3"/>
      <c r="E108" s="3" t="s">
        <v>95</v>
      </c>
      <c r="F108" s="3" t="s">
        <v>177</v>
      </c>
      <c r="G108" s="3"/>
      <c r="H108" s="91"/>
      <c r="I108" s="91"/>
      <c r="J108" s="91">
        <v>1</v>
      </c>
      <c r="K108" s="91"/>
      <c r="L108" s="91"/>
    </row>
    <row r="109" spans="1:12" ht="16.5">
      <c r="A109" s="76" t="s">
        <v>418</v>
      </c>
      <c r="B109" s="34" t="s">
        <v>406</v>
      </c>
      <c r="C109" s="54" t="s">
        <v>410</v>
      </c>
      <c r="D109" s="3"/>
      <c r="E109" s="3" t="s">
        <v>95</v>
      </c>
      <c r="F109" s="3" t="s">
        <v>120</v>
      </c>
      <c r="G109" s="3"/>
      <c r="H109" s="92"/>
      <c r="I109" s="92"/>
      <c r="J109" s="92">
        <v>3</v>
      </c>
      <c r="K109" s="54"/>
      <c r="L109" s="54"/>
    </row>
    <row r="110" spans="1:12" s="129" customFormat="1">
      <c r="A110" s="76" t="s">
        <v>469</v>
      </c>
      <c r="B110" s="34" t="s">
        <v>467</v>
      </c>
      <c r="C110" s="3"/>
      <c r="D110" s="74" t="s">
        <v>498</v>
      </c>
      <c r="E110" s="3"/>
      <c r="F110" s="3" t="s">
        <v>96</v>
      </c>
      <c r="G110" s="3"/>
      <c r="H110" s="3"/>
      <c r="I110" s="75"/>
      <c r="J110" s="13">
        <v>120</v>
      </c>
      <c r="K110" s="3"/>
      <c r="L110" s="3"/>
    </row>
    <row r="111" spans="1:12" s="129" customFormat="1">
      <c r="A111" s="76" t="s">
        <v>469</v>
      </c>
      <c r="B111" s="34" t="s">
        <v>468</v>
      </c>
      <c r="C111" s="3"/>
      <c r="D111" s="74" t="s">
        <v>524</v>
      </c>
      <c r="E111" s="3"/>
      <c r="F111" s="3" t="s">
        <v>96</v>
      </c>
      <c r="G111" s="3"/>
      <c r="H111" s="3"/>
      <c r="I111" s="75">
        <v>2</v>
      </c>
      <c r="J111" s="13">
        <v>1</v>
      </c>
      <c r="K111" s="3"/>
      <c r="L111" s="3"/>
    </row>
    <row r="112" spans="1:12" s="129" customFormat="1">
      <c r="A112" s="76" t="s">
        <v>469</v>
      </c>
      <c r="B112" s="34" t="s">
        <v>468</v>
      </c>
      <c r="C112" s="3"/>
      <c r="D112" s="74" t="s">
        <v>525</v>
      </c>
      <c r="E112" s="3"/>
      <c r="F112" s="3" t="s">
        <v>96</v>
      </c>
      <c r="G112" s="3"/>
      <c r="H112" s="3"/>
      <c r="I112" s="75">
        <v>3</v>
      </c>
      <c r="J112" s="13">
        <v>1</v>
      </c>
      <c r="K112" s="3"/>
      <c r="L112" s="3"/>
    </row>
    <row r="113" spans="1:12" s="129" customFormat="1">
      <c r="A113" s="76" t="s">
        <v>469</v>
      </c>
      <c r="B113" s="34" t="s">
        <v>468</v>
      </c>
      <c r="C113" s="3"/>
      <c r="D113" s="74" t="s">
        <v>526</v>
      </c>
      <c r="E113" s="3"/>
      <c r="F113" s="3" t="s">
        <v>96</v>
      </c>
      <c r="G113" s="3"/>
      <c r="H113" s="3"/>
      <c r="I113" s="75">
        <v>5</v>
      </c>
      <c r="J113" s="13">
        <v>1</v>
      </c>
      <c r="K113" s="3"/>
      <c r="L113" s="3"/>
    </row>
    <row r="114" spans="1:12" s="129" customFormat="1">
      <c r="A114" s="76" t="s">
        <v>469</v>
      </c>
      <c r="B114" s="34" t="s">
        <v>468</v>
      </c>
      <c r="C114" s="3"/>
      <c r="D114" s="74" t="s">
        <v>530</v>
      </c>
      <c r="E114" s="3"/>
      <c r="F114" s="3" t="s">
        <v>96</v>
      </c>
      <c r="G114" s="3"/>
      <c r="H114" s="3"/>
      <c r="I114" s="75">
        <v>41</v>
      </c>
      <c r="J114" s="13">
        <v>17</v>
      </c>
      <c r="K114" s="3"/>
      <c r="L114" s="3"/>
    </row>
    <row r="115" spans="1:12" s="129" customFormat="1">
      <c r="A115" s="76" t="s">
        <v>469</v>
      </c>
      <c r="B115" s="34" t="s">
        <v>468</v>
      </c>
      <c r="C115" s="3"/>
      <c r="D115" s="74" t="s">
        <v>531</v>
      </c>
      <c r="E115" s="3"/>
      <c r="F115" s="3" t="s">
        <v>96</v>
      </c>
      <c r="G115" s="3"/>
      <c r="H115" s="3"/>
      <c r="I115" s="75">
        <v>7</v>
      </c>
      <c r="J115" s="13">
        <v>1</v>
      </c>
      <c r="K115" s="3"/>
      <c r="L115" s="3"/>
    </row>
    <row r="116" spans="1:12" s="129" customFormat="1">
      <c r="A116" s="76" t="s">
        <v>469</v>
      </c>
      <c r="B116" s="34" t="s">
        <v>468</v>
      </c>
      <c r="C116" s="3"/>
      <c r="D116" s="74" t="s">
        <v>526</v>
      </c>
      <c r="E116" s="3"/>
      <c r="F116" s="3"/>
      <c r="G116" s="3"/>
      <c r="H116" s="3"/>
      <c r="I116" s="75">
        <v>5</v>
      </c>
      <c r="J116" s="13">
        <v>1</v>
      </c>
      <c r="K116" s="3"/>
      <c r="L116" s="3"/>
    </row>
    <row r="117" spans="1:12" s="129" customFormat="1">
      <c r="A117" s="76" t="s">
        <v>469</v>
      </c>
      <c r="B117" s="34" t="s">
        <v>468</v>
      </c>
      <c r="C117" s="3"/>
      <c r="D117" s="74" t="s">
        <v>541</v>
      </c>
      <c r="E117" s="3"/>
      <c r="F117" s="3"/>
      <c r="G117" s="3"/>
      <c r="H117" s="3"/>
      <c r="I117" s="75">
        <v>73</v>
      </c>
      <c r="J117" s="13">
        <v>5</v>
      </c>
      <c r="K117" s="3"/>
      <c r="L117" s="3"/>
    </row>
    <row r="118" spans="1:12" s="129" customFormat="1">
      <c r="A118" s="76" t="s">
        <v>469</v>
      </c>
      <c r="B118" s="34" t="s">
        <v>468</v>
      </c>
      <c r="C118" s="3"/>
      <c r="D118" s="74" t="s">
        <v>542</v>
      </c>
      <c r="E118" s="3"/>
      <c r="F118" s="3"/>
      <c r="G118" s="3"/>
      <c r="H118" s="3"/>
      <c r="I118" s="75">
        <v>8</v>
      </c>
      <c r="J118" s="13">
        <v>1</v>
      </c>
      <c r="K118" s="3"/>
      <c r="L118" s="3"/>
    </row>
    <row r="119" spans="1:12" s="87" customFormat="1">
      <c r="A119" s="13" t="s">
        <v>32</v>
      </c>
      <c r="B119" s="14" t="s">
        <v>20</v>
      </c>
      <c r="C119" s="20"/>
      <c r="D119" s="74" t="s">
        <v>30</v>
      </c>
      <c r="E119" s="16"/>
      <c r="F119" s="16"/>
      <c r="G119" s="16"/>
      <c r="H119" s="16"/>
      <c r="I119" s="14">
        <v>65</v>
      </c>
      <c r="J119" s="14">
        <f>2+1+3+1+2+1+2+3</f>
        <v>15</v>
      </c>
      <c r="K119" s="13"/>
      <c r="L119" s="13"/>
    </row>
    <row r="120" spans="1:12" s="129" customFormat="1">
      <c r="A120" s="17" t="s">
        <v>31</v>
      </c>
      <c r="B120" s="34" t="s">
        <v>41</v>
      </c>
      <c r="C120" s="4"/>
      <c r="D120" s="74" t="s">
        <v>45</v>
      </c>
      <c r="E120" s="5"/>
      <c r="F120" s="5"/>
      <c r="G120" s="5"/>
      <c r="H120" s="5"/>
      <c r="I120" s="12">
        <v>30</v>
      </c>
      <c r="J120" s="12">
        <v>23</v>
      </c>
      <c r="K120" s="3"/>
      <c r="L120" s="3"/>
    </row>
    <row r="121" spans="1:12" s="129" customFormat="1">
      <c r="A121" s="17" t="s">
        <v>31</v>
      </c>
      <c r="B121" s="34" t="s">
        <v>41</v>
      </c>
      <c r="C121" s="4"/>
      <c r="D121" s="74" t="s">
        <v>781</v>
      </c>
      <c r="E121" s="5"/>
      <c r="F121" s="5"/>
      <c r="G121" s="5"/>
      <c r="H121" s="5"/>
      <c r="I121" s="12">
        <v>20</v>
      </c>
      <c r="J121" s="12">
        <v>6</v>
      </c>
      <c r="K121" s="3"/>
      <c r="L121" s="3"/>
    </row>
    <row r="122" spans="1:12" s="129" customFormat="1">
      <c r="A122" s="17" t="s">
        <v>31</v>
      </c>
      <c r="B122" s="34" t="s">
        <v>51</v>
      </c>
      <c r="C122" s="165"/>
      <c r="D122" s="74" t="s">
        <v>45</v>
      </c>
      <c r="E122" s="48"/>
      <c r="F122" s="48"/>
      <c r="G122" s="48"/>
      <c r="H122" s="48"/>
      <c r="I122" s="51"/>
      <c r="J122" s="90">
        <v>12</v>
      </c>
      <c r="K122" s="2"/>
      <c r="L122" s="2"/>
    </row>
    <row r="123" spans="1:12" s="129" customFormat="1">
      <c r="A123" s="2" t="s">
        <v>744</v>
      </c>
      <c r="B123" s="90" t="s">
        <v>584</v>
      </c>
      <c r="C123" s="165"/>
      <c r="D123" s="74" t="s">
        <v>782</v>
      </c>
      <c r="E123" s="5"/>
      <c r="F123" s="5"/>
      <c r="G123" s="5"/>
      <c r="H123" s="5"/>
      <c r="I123" s="12">
        <v>230</v>
      </c>
      <c r="J123" s="5">
        <v>42</v>
      </c>
      <c r="K123" s="3"/>
      <c r="L123" s="3"/>
    </row>
    <row r="124" spans="1:12">
      <c r="A124" s="3" t="s">
        <v>744</v>
      </c>
      <c r="B124" s="12" t="s">
        <v>584</v>
      </c>
      <c r="C124" s="4"/>
      <c r="D124" s="74" t="s">
        <v>747</v>
      </c>
      <c r="E124" s="5"/>
      <c r="F124" s="5"/>
      <c r="G124" s="5"/>
      <c r="H124" s="5"/>
      <c r="I124" s="12">
        <v>130</v>
      </c>
      <c r="J124" s="5">
        <v>38</v>
      </c>
      <c r="K124" s="3"/>
      <c r="L124" s="3"/>
    </row>
    <row r="125" spans="1:12">
      <c r="A125" s="3" t="s">
        <v>744</v>
      </c>
      <c r="B125" s="12" t="s">
        <v>586</v>
      </c>
      <c r="C125" s="4"/>
      <c r="D125" s="74" t="s">
        <v>749</v>
      </c>
      <c r="E125" s="5"/>
      <c r="F125" s="5"/>
      <c r="G125" s="5"/>
      <c r="H125" s="5"/>
      <c r="I125" s="191">
        <v>980</v>
      </c>
      <c r="J125" s="5">
        <v>4</v>
      </c>
      <c r="K125" s="3"/>
      <c r="L125" s="3"/>
    </row>
    <row r="126" spans="1:12">
      <c r="A126" s="3" t="s">
        <v>744</v>
      </c>
      <c r="B126" s="12" t="s">
        <v>586</v>
      </c>
      <c r="C126" s="4"/>
      <c r="D126" s="74" t="s">
        <v>587</v>
      </c>
      <c r="E126" s="5"/>
      <c r="F126" s="5"/>
      <c r="G126" s="5"/>
      <c r="H126" s="5"/>
      <c r="I126" s="192"/>
      <c r="J126" s="5">
        <v>3</v>
      </c>
      <c r="K126" s="3"/>
      <c r="L126" s="3"/>
    </row>
    <row r="127" spans="1:12">
      <c r="A127" s="3" t="s">
        <v>744</v>
      </c>
      <c r="B127" s="12" t="s">
        <v>586</v>
      </c>
      <c r="C127" s="4"/>
      <c r="D127" s="74" t="s">
        <v>750</v>
      </c>
      <c r="E127" s="5"/>
      <c r="F127" s="5"/>
      <c r="G127" s="5"/>
      <c r="H127" s="5"/>
      <c r="I127" s="193"/>
      <c r="J127" s="5">
        <v>1</v>
      </c>
      <c r="K127" s="3"/>
      <c r="L127" s="3"/>
    </row>
    <row r="128" spans="1:12">
      <c r="A128" s="3" t="s">
        <v>744</v>
      </c>
      <c r="B128" s="12" t="s">
        <v>589</v>
      </c>
      <c r="C128" s="4"/>
      <c r="D128" s="74" t="s">
        <v>588</v>
      </c>
      <c r="E128" s="5"/>
      <c r="F128" s="5"/>
      <c r="G128" s="5"/>
      <c r="H128" s="5"/>
      <c r="I128" s="191">
        <v>150</v>
      </c>
      <c r="J128" s="5">
        <v>136</v>
      </c>
      <c r="K128" s="3"/>
      <c r="L128" s="3"/>
    </row>
    <row r="129" spans="1:12">
      <c r="A129" s="3" t="s">
        <v>744</v>
      </c>
      <c r="B129" s="12" t="s">
        <v>589</v>
      </c>
      <c r="C129" s="4"/>
      <c r="D129" s="74" t="s">
        <v>585</v>
      </c>
      <c r="E129" s="5"/>
      <c r="F129" s="5"/>
      <c r="G129" s="5"/>
      <c r="H129" s="5"/>
      <c r="I129" s="193"/>
      <c r="J129" s="5">
        <v>5</v>
      </c>
      <c r="K129" s="3"/>
      <c r="L129" s="3"/>
    </row>
    <row r="130" spans="1:12">
      <c r="A130" s="3" t="s">
        <v>745</v>
      </c>
      <c r="B130" s="12" t="s">
        <v>590</v>
      </c>
      <c r="C130" s="4"/>
      <c r="D130" s="74" t="s">
        <v>588</v>
      </c>
      <c r="E130" s="5"/>
      <c r="F130" s="5"/>
      <c r="G130" s="5"/>
      <c r="H130" s="5"/>
      <c r="I130" s="51"/>
      <c r="J130" s="5">
        <v>4</v>
      </c>
      <c r="K130" s="3"/>
      <c r="L130" s="3"/>
    </row>
    <row r="131" spans="1:12" ht="16.5">
      <c r="A131" s="3" t="s">
        <v>745</v>
      </c>
      <c r="B131" s="12" t="s">
        <v>572</v>
      </c>
      <c r="C131" s="79"/>
      <c r="D131" s="74" t="s">
        <v>748</v>
      </c>
      <c r="E131" s="79"/>
      <c r="F131" s="79"/>
      <c r="G131" s="5"/>
      <c r="H131" s="5"/>
      <c r="I131" s="12">
        <v>60</v>
      </c>
      <c r="J131" s="5">
        <v>85</v>
      </c>
      <c r="K131" s="80"/>
      <c r="L131" s="81"/>
    </row>
    <row r="132" spans="1:12" ht="16.5">
      <c r="A132" s="3" t="s">
        <v>745</v>
      </c>
      <c r="B132" s="12" t="s">
        <v>577</v>
      </c>
      <c r="C132" s="4"/>
      <c r="D132" s="74" t="s">
        <v>747</v>
      </c>
      <c r="E132" s="5"/>
      <c r="F132" s="5"/>
      <c r="G132" s="5"/>
      <c r="H132" s="5"/>
      <c r="I132" s="90" t="s">
        <v>578</v>
      </c>
      <c r="J132" s="5">
        <v>32</v>
      </c>
      <c r="K132" s="2"/>
      <c r="L132" s="1"/>
    </row>
    <row r="133" spans="1:12" ht="16.5">
      <c r="A133" s="3" t="s">
        <v>745</v>
      </c>
      <c r="B133" s="14" t="s">
        <v>577</v>
      </c>
      <c r="C133" s="20"/>
      <c r="D133" s="74" t="s">
        <v>596</v>
      </c>
      <c r="E133" s="16"/>
      <c r="F133" s="16"/>
      <c r="G133" s="16"/>
      <c r="H133" s="16"/>
      <c r="I133" s="14"/>
      <c r="J133" s="16">
        <v>1</v>
      </c>
      <c r="K133" s="2"/>
      <c r="L133" s="1"/>
    </row>
    <row r="134" spans="1:12" ht="16.5">
      <c r="A134" s="3" t="s">
        <v>745</v>
      </c>
      <c r="B134" s="12" t="s">
        <v>623</v>
      </c>
      <c r="C134" s="20"/>
      <c r="D134" s="74" t="s">
        <v>784</v>
      </c>
      <c r="E134" s="5"/>
      <c r="F134" s="5"/>
      <c r="G134" s="5"/>
      <c r="H134" s="5"/>
      <c r="I134" s="90">
        <v>20</v>
      </c>
      <c r="J134" s="16">
        <v>1</v>
      </c>
      <c r="K134" s="2"/>
      <c r="L134" s="1"/>
    </row>
    <row r="135" spans="1:12">
      <c r="A135" s="3" t="s">
        <v>745</v>
      </c>
      <c r="B135" s="12" t="s">
        <v>580</v>
      </c>
      <c r="C135" s="4"/>
      <c r="D135" s="74" t="s">
        <v>747</v>
      </c>
      <c r="E135" s="16"/>
      <c r="F135" s="16"/>
      <c r="G135" s="16"/>
      <c r="H135" s="16"/>
      <c r="I135" s="14"/>
      <c r="J135" s="5">
        <v>15</v>
      </c>
      <c r="K135" s="3"/>
      <c r="L135" s="3"/>
    </row>
    <row r="136" spans="1:12">
      <c r="A136" s="3" t="s">
        <v>745</v>
      </c>
      <c r="B136" s="12" t="s">
        <v>582</v>
      </c>
      <c r="C136" s="4"/>
      <c r="D136" s="74" t="s">
        <v>747</v>
      </c>
      <c r="E136" s="5"/>
      <c r="F136" s="5"/>
      <c r="G136" s="5"/>
      <c r="H136" s="5"/>
      <c r="I136" s="12" t="s">
        <v>578</v>
      </c>
      <c r="J136" s="5">
        <v>75</v>
      </c>
      <c r="K136" s="3"/>
      <c r="L136" s="3"/>
    </row>
  </sheetData>
  <mergeCells count="2">
    <mergeCell ref="I125:I127"/>
    <mergeCell ref="I128:I129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topLeftCell="A40" workbookViewId="0">
      <selection activeCell="L28" sqref="L28"/>
    </sheetView>
  </sheetViews>
  <sheetFormatPr defaultRowHeight="15.75"/>
  <cols>
    <col min="1" max="1" width="12.42578125" bestFit="1" customWidth="1"/>
    <col min="2" max="2" width="9.140625" style="19"/>
    <col min="3" max="3" width="14.140625" bestFit="1" customWidth="1"/>
    <col min="4" max="4" width="30.140625" bestFit="1" customWidth="1"/>
    <col min="5" max="8" width="0" hidden="1" customWidth="1"/>
    <col min="9" max="9" width="12.28515625" bestFit="1" customWidth="1"/>
    <col min="10" max="10" width="14.7109375" bestFit="1" customWidth="1"/>
    <col min="11" max="11" width="27" bestFit="1" customWidth="1"/>
    <col min="12" max="12" width="17.42578125" bestFit="1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9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ht="12.75" customHeight="1">
      <c r="A2" s="76" t="s">
        <v>418</v>
      </c>
      <c r="B2" s="34" t="s">
        <v>68</v>
      </c>
      <c r="C2" s="56" t="s">
        <v>74</v>
      </c>
      <c r="D2" s="91" t="s">
        <v>77</v>
      </c>
      <c r="E2" s="3" t="s">
        <v>75</v>
      </c>
      <c r="F2" s="3" t="s">
        <v>76</v>
      </c>
      <c r="G2" t="s">
        <v>74</v>
      </c>
      <c r="H2" s="91"/>
      <c r="I2" s="91">
        <v>3</v>
      </c>
      <c r="J2" s="91">
        <v>5</v>
      </c>
      <c r="K2" s="91"/>
      <c r="L2" s="91"/>
    </row>
    <row r="3" spans="1:12" ht="15" customHeight="1">
      <c r="A3" s="76" t="s">
        <v>418</v>
      </c>
      <c r="B3" s="34" t="s">
        <v>68</v>
      </c>
      <c r="C3" s="56" t="s">
        <v>100</v>
      </c>
      <c r="D3" s="2"/>
      <c r="E3" s="2" t="s">
        <v>75</v>
      </c>
      <c r="F3" s="2" t="s">
        <v>76</v>
      </c>
      <c r="G3" s="2" t="s">
        <v>100</v>
      </c>
      <c r="H3" s="91"/>
      <c r="I3" s="91">
        <v>4</v>
      </c>
      <c r="J3" s="91">
        <v>2</v>
      </c>
      <c r="K3" s="91"/>
      <c r="L3" s="91"/>
    </row>
    <row r="4" spans="1:12" ht="16.5">
      <c r="A4" s="76" t="s">
        <v>418</v>
      </c>
      <c r="B4" s="34" t="s">
        <v>111</v>
      </c>
      <c r="C4" s="56" t="s">
        <v>76</v>
      </c>
      <c r="D4" s="3"/>
      <c r="E4" s="3" t="s">
        <v>75</v>
      </c>
      <c r="F4" s="3" t="s">
        <v>122</v>
      </c>
      <c r="G4" s="3"/>
      <c r="H4" s="91"/>
      <c r="I4" s="91">
        <v>140</v>
      </c>
      <c r="J4" s="91"/>
      <c r="K4" s="91"/>
      <c r="L4" s="91"/>
    </row>
    <row r="5" spans="1:12" ht="16.5">
      <c r="A5" s="76" t="s">
        <v>418</v>
      </c>
      <c r="B5" s="34" t="s">
        <v>111</v>
      </c>
      <c r="C5" s="54" t="s">
        <v>100</v>
      </c>
      <c r="D5" s="3"/>
      <c r="E5" s="2" t="s">
        <v>75</v>
      </c>
      <c r="F5" s="2" t="s">
        <v>76</v>
      </c>
      <c r="G5" s="2" t="s">
        <v>100</v>
      </c>
      <c r="H5" s="92"/>
      <c r="I5" s="92"/>
      <c r="J5" s="92">
        <v>12</v>
      </c>
      <c r="K5" s="54"/>
      <c r="L5" s="54"/>
    </row>
    <row r="6" spans="1:12" ht="16.5">
      <c r="A6" s="76" t="s">
        <v>418</v>
      </c>
      <c r="B6" s="34" t="s">
        <v>229</v>
      </c>
      <c r="C6" s="54" t="s">
        <v>232</v>
      </c>
      <c r="D6" s="3"/>
      <c r="E6" s="3" t="s">
        <v>75</v>
      </c>
      <c r="F6" s="3" t="s">
        <v>122</v>
      </c>
      <c r="G6" s="3" t="s">
        <v>233</v>
      </c>
      <c r="H6" s="92"/>
      <c r="I6" s="92">
        <v>3150</v>
      </c>
      <c r="J6" s="92"/>
      <c r="K6" s="92"/>
      <c r="L6" s="92"/>
    </row>
    <row r="7" spans="1:12" ht="16.5">
      <c r="A7" s="76" t="s">
        <v>418</v>
      </c>
      <c r="B7" s="34" t="s">
        <v>229</v>
      </c>
      <c r="C7" s="56" t="s">
        <v>234</v>
      </c>
      <c r="D7" s="3"/>
      <c r="E7" s="3" t="s">
        <v>75</v>
      </c>
      <c r="F7" s="3" t="s">
        <v>76</v>
      </c>
      <c r="G7" s="3" t="s">
        <v>234</v>
      </c>
      <c r="H7" s="91"/>
      <c r="I7" s="91">
        <v>550</v>
      </c>
      <c r="J7" s="91"/>
      <c r="K7" s="91"/>
      <c r="L7" s="91"/>
    </row>
    <row r="8" spans="1:12" ht="16.5">
      <c r="A8" s="76" t="s">
        <v>418</v>
      </c>
      <c r="B8" s="34" t="s">
        <v>255</v>
      </c>
      <c r="C8" s="54" t="s">
        <v>76</v>
      </c>
      <c r="D8" s="3"/>
      <c r="E8" s="3" t="s">
        <v>75</v>
      </c>
      <c r="F8" s="3" t="s">
        <v>122</v>
      </c>
      <c r="G8" s="3"/>
      <c r="H8" s="92"/>
      <c r="I8" s="92">
        <v>400</v>
      </c>
      <c r="J8" s="92"/>
      <c r="K8" s="92"/>
      <c r="L8" s="92"/>
    </row>
    <row r="9" spans="1:12" ht="16.5">
      <c r="A9" s="76" t="s">
        <v>418</v>
      </c>
      <c r="B9" s="34" t="s">
        <v>255</v>
      </c>
      <c r="C9" s="56" t="s">
        <v>256</v>
      </c>
      <c r="D9" s="3"/>
      <c r="E9" s="3" t="s">
        <v>75</v>
      </c>
      <c r="F9" s="3" t="s">
        <v>76</v>
      </c>
      <c r="G9" s="3" t="s">
        <v>232</v>
      </c>
      <c r="H9" s="91"/>
      <c r="I9" s="91">
        <v>12550</v>
      </c>
      <c r="J9" s="91"/>
      <c r="K9" s="91"/>
      <c r="L9" s="91"/>
    </row>
    <row r="10" spans="1:12" ht="16.5">
      <c r="A10" s="76" t="s">
        <v>418</v>
      </c>
      <c r="B10" s="34" t="s">
        <v>277</v>
      </c>
      <c r="C10" s="56" t="s">
        <v>76</v>
      </c>
      <c r="D10" s="3"/>
      <c r="E10" s="3" t="s">
        <v>75</v>
      </c>
      <c r="F10" s="3" t="s">
        <v>122</v>
      </c>
      <c r="G10" s="3"/>
      <c r="H10" s="91"/>
      <c r="I10" s="91"/>
      <c r="J10" s="91">
        <v>3</v>
      </c>
      <c r="K10" s="91"/>
      <c r="L10" s="91"/>
    </row>
    <row r="11" spans="1:12" ht="16.5">
      <c r="A11" s="76" t="s">
        <v>418</v>
      </c>
      <c r="B11" s="34" t="s">
        <v>277</v>
      </c>
      <c r="C11" s="54" t="s">
        <v>232</v>
      </c>
      <c r="D11" s="3"/>
      <c r="E11" s="3" t="s">
        <v>75</v>
      </c>
      <c r="F11" s="3" t="s">
        <v>122</v>
      </c>
      <c r="G11" s="3" t="s">
        <v>233</v>
      </c>
      <c r="H11" s="92"/>
      <c r="I11" s="92"/>
      <c r="J11" s="92">
        <v>1</v>
      </c>
      <c r="K11" s="54"/>
      <c r="L11" s="54" t="s">
        <v>276</v>
      </c>
    </row>
    <row r="12" spans="1:12" ht="16.5">
      <c r="A12" s="76" t="s">
        <v>418</v>
      </c>
      <c r="B12" s="34" t="s">
        <v>301</v>
      </c>
      <c r="C12" s="56" t="s">
        <v>232</v>
      </c>
      <c r="D12" s="3"/>
      <c r="E12" s="3" t="s">
        <v>75</v>
      </c>
      <c r="F12" s="3" t="s">
        <v>122</v>
      </c>
      <c r="G12" s="3" t="s">
        <v>233</v>
      </c>
      <c r="H12" s="91"/>
      <c r="I12" s="91">
        <v>45</v>
      </c>
      <c r="J12" s="91">
        <v>310</v>
      </c>
      <c r="K12" s="56"/>
      <c r="L12" s="56" t="s">
        <v>276</v>
      </c>
    </row>
    <row r="13" spans="1:12" ht="16.5">
      <c r="A13" s="76" t="s">
        <v>418</v>
      </c>
      <c r="B13" s="34" t="s">
        <v>304</v>
      </c>
      <c r="C13" s="54" t="s">
        <v>76</v>
      </c>
      <c r="D13" s="3"/>
      <c r="E13" s="3" t="s">
        <v>75</v>
      </c>
      <c r="F13" s="3" t="s">
        <v>122</v>
      </c>
      <c r="G13" s="3"/>
      <c r="H13" s="92"/>
      <c r="I13" s="92"/>
      <c r="J13" s="92">
        <v>12</v>
      </c>
      <c r="K13" s="54"/>
      <c r="L13" s="54"/>
    </row>
    <row r="14" spans="1:12" ht="16.5">
      <c r="A14" s="76" t="s">
        <v>418</v>
      </c>
      <c r="B14" s="34" t="s">
        <v>304</v>
      </c>
      <c r="C14" s="56" t="s">
        <v>232</v>
      </c>
      <c r="D14" s="3"/>
      <c r="E14" s="3" t="s">
        <v>75</v>
      </c>
      <c r="F14" s="3" t="s">
        <v>122</v>
      </c>
      <c r="G14" s="3" t="s">
        <v>233</v>
      </c>
      <c r="H14" s="91"/>
      <c r="I14" s="91">
        <v>62</v>
      </c>
      <c r="J14" s="91">
        <v>192</v>
      </c>
      <c r="K14" s="56"/>
      <c r="L14" s="56" t="s">
        <v>276</v>
      </c>
    </row>
    <row r="15" spans="1:12" ht="16.5">
      <c r="A15" s="76" t="s">
        <v>418</v>
      </c>
      <c r="B15" s="34" t="s">
        <v>332</v>
      </c>
      <c r="C15" s="54" t="s">
        <v>76</v>
      </c>
      <c r="D15" s="3"/>
      <c r="E15" s="3" t="s">
        <v>75</v>
      </c>
      <c r="F15" s="3" t="s">
        <v>122</v>
      </c>
      <c r="G15" s="3"/>
      <c r="H15" s="92"/>
      <c r="I15" s="92"/>
      <c r="J15" s="92">
        <v>23</v>
      </c>
      <c r="K15" s="54"/>
      <c r="L15" s="54"/>
    </row>
    <row r="16" spans="1:12" ht="16.5">
      <c r="A16" s="76" t="s">
        <v>418</v>
      </c>
      <c r="B16" s="34" t="s">
        <v>353</v>
      </c>
      <c r="C16" s="54" t="s">
        <v>100</v>
      </c>
      <c r="D16" s="3"/>
      <c r="E16" s="2" t="s">
        <v>75</v>
      </c>
      <c r="F16" s="2" t="s">
        <v>76</v>
      </c>
      <c r="G16" s="3" t="s">
        <v>100</v>
      </c>
      <c r="H16" s="92"/>
      <c r="I16" s="92"/>
      <c r="J16" s="92">
        <v>7</v>
      </c>
      <c r="K16" s="54"/>
      <c r="L16" s="54"/>
    </row>
    <row r="17" spans="1:12" ht="16.5">
      <c r="A17" s="76" t="s">
        <v>418</v>
      </c>
      <c r="B17" s="34" t="s">
        <v>372</v>
      </c>
      <c r="C17" s="54" t="s">
        <v>232</v>
      </c>
      <c r="D17" s="3"/>
      <c r="E17" s="3" t="s">
        <v>75</v>
      </c>
      <c r="F17" s="3" t="s">
        <v>122</v>
      </c>
      <c r="G17" s="3" t="s">
        <v>233</v>
      </c>
      <c r="H17" s="92"/>
      <c r="I17" s="92"/>
      <c r="J17" s="92">
        <v>9</v>
      </c>
      <c r="K17" s="54"/>
      <c r="L17" s="54" t="s">
        <v>276</v>
      </c>
    </row>
    <row r="18" spans="1:12" ht="16.5">
      <c r="A18" s="76" t="s">
        <v>418</v>
      </c>
      <c r="B18" s="34" t="s">
        <v>372</v>
      </c>
      <c r="C18" s="56" t="s">
        <v>76</v>
      </c>
      <c r="D18" s="3"/>
      <c r="E18" s="3" t="s">
        <v>75</v>
      </c>
      <c r="F18" s="3" t="s">
        <v>122</v>
      </c>
      <c r="G18" s="3"/>
      <c r="H18" s="91"/>
      <c r="I18" s="91"/>
      <c r="J18" s="91">
        <v>66</v>
      </c>
      <c r="K18" s="56"/>
      <c r="L18" s="56" t="s">
        <v>399</v>
      </c>
    </row>
    <row r="19" spans="1:12" ht="16.5">
      <c r="A19" s="76" t="s">
        <v>418</v>
      </c>
      <c r="B19" s="34" t="s">
        <v>372</v>
      </c>
      <c r="C19" s="54" t="s">
        <v>100</v>
      </c>
      <c r="D19" s="3"/>
      <c r="E19" s="2" t="s">
        <v>75</v>
      </c>
      <c r="F19" s="2" t="s">
        <v>76</v>
      </c>
      <c r="G19" s="3" t="s">
        <v>100</v>
      </c>
      <c r="H19" s="92"/>
      <c r="I19" s="92"/>
      <c r="J19" s="92">
        <v>5</v>
      </c>
      <c r="K19" s="54"/>
      <c r="L19" s="54"/>
    </row>
    <row r="20" spans="1:12" ht="16.5">
      <c r="A20" s="76" t="s">
        <v>418</v>
      </c>
      <c r="B20" s="34" t="s">
        <v>406</v>
      </c>
      <c r="C20" s="54" t="s">
        <v>100</v>
      </c>
      <c r="D20" s="3"/>
      <c r="E20" s="2" t="s">
        <v>75</v>
      </c>
      <c r="F20" s="2" t="s">
        <v>76</v>
      </c>
      <c r="G20" s="3" t="s">
        <v>100</v>
      </c>
      <c r="H20" s="92"/>
      <c r="I20" s="92"/>
      <c r="J20" s="92">
        <v>1</v>
      </c>
      <c r="K20" s="54"/>
      <c r="L20" s="54"/>
    </row>
    <row r="21" spans="1:12" ht="16.5">
      <c r="A21" s="76" t="s">
        <v>418</v>
      </c>
      <c r="B21" s="34" t="s">
        <v>406</v>
      </c>
      <c r="C21" s="56" t="s">
        <v>76</v>
      </c>
      <c r="D21" s="3"/>
      <c r="E21" s="3" t="s">
        <v>75</v>
      </c>
      <c r="F21" s="3" t="s">
        <v>122</v>
      </c>
      <c r="G21" s="3"/>
      <c r="H21" s="91"/>
      <c r="I21" s="91"/>
      <c r="J21" s="91">
        <v>4</v>
      </c>
      <c r="K21" s="91"/>
      <c r="L21" s="91"/>
    </row>
    <row r="22" spans="1:12" s="160" customFormat="1">
      <c r="A22" s="76" t="s">
        <v>469</v>
      </c>
      <c r="B22" s="34" t="s">
        <v>467</v>
      </c>
      <c r="C22" s="3"/>
      <c r="D22" s="74" t="s">
        <v>484</v>
      </c>
      <c r="E22" s="3"/>
      <c r="F22" s="3" t="s">
        <v>200</v>
      </c>
      <c r="G22" s="3" t="s">
        <v>552</v>
      </c>
      <c r="H22" s="3" t="s">
        <v>562</v>
      </c>
      <c r="I22" s="216">
        <v>1568</v>
      </c>
      <c r="J22" s="13">
        <v>10</v>
      </c>
      <c r="K22" s="3"/>
      <c r="L22" s="3"/>
    </row>
    <row r="23" spans="1:12" s="160" customFormat="1">
      <c r="A23" s="76" t="s">
        <v>469</v>
      </c>
      <c r="B23" s="34" t="s">
        <v>467</v>
      </c>
      <c r="C23" s="3"/>
      <c r="D23" s="74" t="s">
        <v>485</v>
      </c>
      <c r="E23" s="3"/>
      <c r="F23" s="3" t="s">
        <v>200</v>
      </c>
      <c r="G23" s="3" t="s">
        <v>552</v>
      </c>
      <c r="H23" s="3" t="s">
        <v>562</v>
      </c>
      <c r="I23" s="217"/>
      <c r="J23" s="13">
        <v>7</v>
      </c>
      <c r="K23" s="3"/>
      <c r="L23" s="3"/>
    </row>
    <row r="24" spans="1:12" s="160" customFormat="1">
      <c r="A24" s="76" t="s">
        <v>469</v>
      </c>
      <c r="B24" s="34" t="s">
        <v>467</v>
      </c>
      <c r="C24" s="3"/>
      <c r="D24" s="74" t="s">
        <v>486</v>
      </c>
      <c r="E24" s="3"/>
      <c r="F24" s="3" t="s">
        <v>200</v>
      </c>
      <c r="G24" s="3" t="s">
        <v>552</v>
      </c>
      <c r="H24" s="3" t="s">
        <v>562</v>
      </c>
      <c r="I24" s="218"/>
      <c r="J24" s="13">
        <v>24</v>
      </c>
      <c r="K24" s="3"/>
      <c r="L24" s="3"/>
    </row>
    <row r="25" spans="1:12" s="160" customFormat="1">
      <c r="A25" s="76" t="s">
        <v>469</v>
      </c>
      <c r="B25" s="34" t="s">
        <v>467</v>
      </c>
      <c r="C25" s="3"/>
      <c r="D25" s="74" t="s">
        <v>495</v>
      </c>
      <c r="E25" s="3"/>
      <c r="F25" s="3" t="s">
        <v>76</v>
      </c>
      <c r="G25" s="3"/>
      <c r="H25" s="3"/>
      <c r="I25" s="75">
        <v>20</v>
      </c>
      <c r="J25" s="13">
        <v>10</v>
      </c>
      <c r="K25" s="3"/>
      <c r="L25" s="3"/>
    </row>
    <row r="26" spans="1:12" s="160" customFormat="1">
      <c r="A26" s="76" t="s">
        <v>469</v>
      </c>
      <c r="B26" s="34" t="s">
        <v>467</v>
      </c>
      <c r="C26" s="3"/>
      <c r="D26" s="74" t="s">
        <v>276</v>
      </c>
      <c r="E26" s="3"/>
      <c r="F26" s="3" t="s">
        <v>76</v>
      </c>
      <c r="G26" s="3"/>
      <c r="H26" s="3"/>
      <c r="I26" s="75">
        <v>836</v>
      </c>
      <c r="J26" s="13">
        <v>233</v>
      </c>
      <c r="K26" s="3"/>
      <c r="L26" s="3"/>
    </row>
    <row r="27" spans="1:12" s="160" customFormat="1">
      <c r="A27" s="76" t="s">
        <v>469</v>
      </c>
      <c r="B27" s="34" t="s">
        <v>467</v>
      </c>
      <c r="C27" s="3"/>
      <c r="D27" s="74" t="s">
        <v>499</v>
      </c>
      <c r="E27" s="3"/>
      <c r="F27" s="3" t="s">
        <v>76</v>
      </c>
      <c r="G27" s="3" t="s">
        <v>100</v>
      </c>
      <c r="H27" s="3"/>
      <c r="I27" s="75"/>
      <c r="J27" s="13">
        <v>2</v>
      </c>
      <c r="K27" s="3"/>
      <c r="L27" s="3"/>
    </row>
    <row r="28" spans="1:12" s="160" customFormat="1">
      <c r="A28" s="76" t="s">
        <v>469</v>
      </c>
      <c r="B28" s="34" t="s">
        <v>468</v>
      </c>
      <c r="C28" s="3"/>
      <c r="D28" s="74" t="s">
        <v>276</v>
      </c>
      <c r="E28" s="3"/>
      <c r="F28" s="3" t="s">
        <v>76</v>
      </c>
      <c r="G28" s="3"/>
      <c r="H28" s="3"/>
      <c r="I28" s="75">
        <v>214</v>
      </c>
      <c r="J28" s="13">
        <v>10</v>
      </c>
      <c r="K28" s="3"/>
      <c r="L28" s="3"/>
    </row>
    <row r="29" spans="1:12" s="160" customFormat="1">
      <c r="A29" s="76" t="s">
        <v>469</v>
      </c>
      <c r="B29" s="34" t="s">
        <v>468</v>
      </c>
      <c r="C29" s="3"/>
      <c r="D29" s="74" t="s">
        <v>499</v>
      </c>
      <c r="E29" s="3"/>
      <c r="F29" s="3" t="s">
        <v>76</v>
      </c>
      <c r="G29" s="3" t="s">
        <v>100</v>
      </c>
      <c r="H29" s="3"/>
      <c r="I29" s="75">
        <v>6814</v>
      </c>
      <c r="J29" s="13">
        <v>420</v>
      </c>
      <c r="K29" s="3"/>
      <c r="L29" s="3"/>
    </row>
    <row r="30" spans="1:12" s="160" customFormat="1">
      <c r="A30" s="76" t="s">
        <v>469</v>
      </c>
      <c r="B30" s="34" t="s">
        <v>468</v>
      </c>
      <c r="C30" s="3"/>
      <c r="D30" s="74" t="s">
        <v>523</v>
      </c>
      <c r="E30" s="3"/>
      <c r="F30" s="3" t="s">
        <v>76</v>
      </c>
      <c r="G30" s="3"/>
      <c r="H30" s="3"/>
      <c r="I30" s="75"/>
      <c r="J30" s="13">
        <v>1</v>
      </c>
      <c r="K30" s="3"/>
      <c r="L30" s="3"/>
    </row>
    <row r="31" spans="1:12" s="160" customFormat="1">
      <c r="A31" s="76" t="s">
        <v>469</v>
      </c>
      <c r="B31" s="34" t="s">
        <v>468</v>
      </c>
      <c r="C31" s="3"/>
      <c r="D31" s="74" t="s">
        <v>533</v>
      </c>
      <c r="E31" s="3"/>
      <c r="F31" s="3" t="s">
        <v>76</v>
      </c>
      <c r="G31" s="3"/>
      <c r="H31" s="3"/>
      <c r="I31" s="75">
        <v>71</v>
      </c>
      <c r="J31" s="13"/>
      <c r="K31" s="3"/>
      <c r="L31" s="3"/>
    </row>
    <row r="32" spans="1:12" s="160" customFormat="1">
      <c r="A32" s="76" t="s">
        <v>469</v>
      </c>
      <c r="B32" s="34" t="s">
        <v>468</v>
      </c>
      <c r="C32" s="3"/>
      <c r="D32" s="74" t="s">
        <v>535</v>
      </c>
      <c r="E32" s="3"/>
      <c r="F32" s="3"/>
      <c r="G32" s="3"/>
      <c r="H32" s="3"/>
      <c r="I32" s="75">
        <v>7551</v>
      </c>
      <c r="J32" s="13"/>
      <c r="K32" s="3"/>
      <c r="L32" s="3"/>
    </row>
    <row r="33" spans="1:12" s="160" customFormat="1">
      <c r="A33" s="76" t="s">
        <v>469</v>
      </c>
      <c r="B33" s="34" t="s">
        <v>468</v>
      </c>
      <c r="C33" s="3"/>
      <c r="D33" s="74" t="s">
        <v>536</v>
      </c>
      <c r="E33" s="3"/>
      <c r="F33" s="3"/>
      <c r="G33" s="3"/>
      <c r="H33" s="3"/>
      <c r="I33" s="75">
        <v>2100</v>
      </c>
      <c r="J33" s="13"/>
      <c r="K33" s="3"/>
      <c r="L33" s="3"/>
    </row>
    <row r="34" spans="1:12" s="160" customFormat="1">
      <c r="A34" s="76" t="s">
        <v>469</v>
      </c>
      <c r="B34" s="34" t="s">
        <v>468</v>
      </c>
      <c r="C34" s="3"/>
      <c r="D34" s="74" t="s">
        <v>537</v>
      </c>
      <c r="E34" s="3"/>
      <c r="F34" s="3"/>
      <c r="G34" s="3"/>
      <c r="H34" s="3"/>
      <c r="I34" s="75">
        <v>377</v>
      </c>
      <c r="J34" s="13"/>
      <c r="K34" s="3"/>
      <c r="L34" s="3"/>
    </row>
    <row r="35" spans="1:12" s="160" customFormat="1">
      <c r="A35" s="76" t="s">
        <v>469</v>
      </c>
      <c r="B35" s="34" t="s">
        <v>468</v>
      </c>
      <c r="C35" s="3"/>
      <c r="D35" s="74" t="s">
        <v>538</v>
      </c>
      <c r="E35" s="3"/>
      <c r="F35" s="3"/>
      <c r="G35" s="3"/>
      <c r="H35" s="3"/>
      <c r="I35" s="75">
        <v>3</v>
      </c>
      <c r="J35" s="13"/>
      <c r="K35" s="3"/>
      <c r="L35" s="3"/>
    </row>
    <row r="36" spans="1:12" s="19" customFormat="1">
      <c r="A36" s="13" t="s">
        <v>32</v>
      </c>
      <c r="B36" s="14" t="s">
        <v>20</v>
      </c>
      <c r="C36" s="20"/>
      <c r="D36" s="22" t="s">
        <v>28</v>
      </c>
      <c r="E36" s="16"/>
      <c r="F36" s="16"/>
      <c r="G36" s="16"/>
      <c r="H36" s="16"/>
      <c r="I36" s="14">
        <v>380</v>
      </c>
      <c r="J36" s="14"/>
      <c r="K36" s="13"/>
      <c r="L36" s="13"/>
    </row>
    <row r="37" spans="1:12" s="19" customFormat="1">
      <c r="A37" s="13" t="s">
        <v>32</v>
      </c>
      <c r="B37" s="14" t="s">
        <v>20</v>
      </c>
      <c r="C37" s="20"/>
      <c r="D37" s="22" t="s">
        <v>29</v>
      </c>
      <c r="E37" s="16"/>
      <c r="F37" s="16"/>
      <c r="G37" s="16"/>
      <c r="H37" s="16"/>
      <c r="I37" s="14">
        <v>610</v>
      </c>
      <c r="J37" s="14"/>
      <c r="K37" s="13"/>
      <c r="L37" s="13"/>
    </row>
    <row r="38" spans="1:12" s="37" customFormat="1">
      <c r="A38" s="25" t="s">
        <v>31</v>
      </c>
      <c r="B38" s="26" t="s">
        <v>36</v>
      </c>
      <c r="C38" s="27"/>
      <c r="D38" s="39" t="s">
        <v>37</v>
      </c>
      <c r="E38" s="28"/>
      <c r="F38" s="28"/>
      <c r="G38" s="28"/>
      <c r="H38" s="28"/>
      <c r="I38" s="26">
        <v>150</v>
      </c>
      <c r="J38" s="26">
        <v>2</v>
      </c>
      <c r="K38" s="25"/>
      <c r="L38" s="25"/>
    </row>
    <row r="39" spans="1:12" s="52" customFormat="1">
      <c r="A39" s="17" t="s">
        <v>31</v>
      </c>
      <c r="B39" s="34" t="s">
        <v>41</v>
      </c>
      <c r="C39" s="4"/>
      <c r="D39" s="41" t="s">
        <v>46</v>
      </c>
      <c r="E39" s="5"/>
      <c r="F39" s="5"/>
      <c r="G39" s="5"/>
      <c r="H39" s="5"/>
      <c r="I39" s="12">
        <v>190</v>
      </c>
      <c r="J39" s="12"/>
      <c r="K39" s="3"/>
      <c r="L39" s="3"/>
    </row>
    <row r="40" spans="1:12" s="52" customFormat="1">
      <c r="A40" s="17" t="s">
        <v>31</v>
      </c>
      <c r="B40" s="34" t="s">
        <v>41</v>
      </c>
      <c r="C40" s="4"/>
      <c r="D40" s="41" t="s">
        <v>47</v>
      </c>
      <c r="E40" s="5"/>
      <c r="F40" s="5"/>
      <c r="G40" s="5"/>
      <c r="H40" s="5"/>
      <c r="I40" s="12">
        <v>40</v>
      </c>
      <c r="J40" s="12">
        <v>5</v>
      </c>
      <c r="K40" s="3"/>
      <c r="L40" s="3"/>
    </row>
    <row r="41" spans="1:12" s="52" customFormat="1">
      <c r="A41" s="17" t="s">
        <v>31</v>
      </c>
      <c r="B41" s="34" t="s">
        <v>41</v>
      </c>
      <c r="C41" s="4"/>
      <c r="D41" s="41" t="s">
        <v>37</v>
      </c>
      <c r="E41" s="5"/>
      <c r="F41" s="5"/>
      <c r="G41" s="5"/>
      <c r="H41" s="5"/>
      <c r="I41" s="12">
        <f>1085-825</f>
        <v>260</v>
      </c>
      <c r="J41" s="12">
        <v>19</v>
      </c>
      <c r="K41" s="3"/>
      <c r="L41" s="3"/>
    </row>
    <row r="42" spans="1:12" s="52" customFormat="1">
      <c r="A42" s="43" t="s">
        <v>31</v>
      </c>
      <c r="B42" s="45" t="s">
        <v>51</v>
      </c>
      <c r="C42" s="46"/>
      <c r="D42" s="47" t="s">
        <v>37</v>
      </c>
      <c r="E42" s="48"/>
      <c r="F42" s="48"/>
      <c r="G42" s="48"/>
      <c r="H42" s="48"/>
      <c r="I42" s="49">
        <v>85</v>
      </c>
      <c r="J42" s="49">
        <v>8</v>
      </c>
      <c r="K42" s="44"/>
      <c r="L42" s="44"/>
    </row>
    <row r="43" spans="1:12" s="52" customFormat="1">
      <c r="A43" s="43" t="s">
        <v>31</v>
      </c>
      <c r="B43" s="45" t="s">
        <v>51</v>
      </c>
      <c r="C43" s="46"/>
      <c r="D43" s="47" t="s">
        <v>53</v>
      </c>
      <c r="E43" s="48"/>
      <c r="F43" s="48"/>
      <c r="G43" s="48"/>
      <c r="H43" s="48"/>
      <c r="I43" s="49">
        <v>55</v>
      </c>
      <c r="J43" s="49">
        <v>1</v>
      </c>
      <c r="K43" s="44"/>
      <c r="L43" s="44"/>
    </row>
    <row r="44" spans="1:12" s="52" customFormat="1">
      <c r="A44" s="43" t="s">
        <v>31</v>
      </c>
      <c r="B44" s="45" t="s">
        <v>51</v>
      </c>
      <c r="C44" s="46"/>
      <c r="D44" s="42" t="s">
        <v>54</v>
      </c>
      <c r="E44" s="48"/>
      <c r="F44" s="48"/>
      <c r="G44" s="48"/>
      <c r="H44" s="48"/>
      <c r="I44" s="49">
        <v>20</v>
      </c>
      <c r="J44" s="49">
        <v>1</v>
      </c>
      <c r="K44" s="44"/>
      <c r="L44" s="44"/>
    </row>
    <row r="45" spans="1:12" s="52" customFormat="1">
      <c r="A45" s="43" t="s">
        <v>31</v>
      </c>
      <c r="B45" s="45" t="s">
        <v>51</v>
      </c>
      <c r="C45" s="46"/>
      <c r="D45" s="47" t="s">
        <v>55</v>
      </c>
      <c r="E45" s="48"/>
      <c r="F45" s="48"/>
      <c r="G45" s="48"/>
      <c r="H45" s="48"/>
      <c r="I45" s="49">
        <v>120</v>
      </c>
      <c r="J45" s="51"/>
      <c r="K45" s="44"/>
      <c r="L45" s="44"/>
    </row>
    <row r="46" spans="1:12">
      <c r="A46" s="3" t="s">
        <v>744</v>
      </c>
      <c r="B46" s="14" t="s">
        <v>754</v>
      </c>
      <c r="C46" s="3"/>
      <c r="D46" s="23" t="s">
        <v>597</v>
      </c>
      <c r="E46" s="3"/>
      <c r="F46" s="3"/>
      <c r="G46" s="3"/>
      <c r="H46" s="3"/>
      <c r="I46" s="2"/>
      <c r="J46" s="3">
        <v>1</v>
      </c>
      <c r="K46" s="3"/>
      <c r="L46" s="3"/>
    </row>
    <row r="47" spans="1:12">
      <c r="A47" s="3" t="s">
        <v>744</v>
      </c>
      <c r="B47" s="14" t="s">
        <v>754</v>
      </c>
      <c r="C47" s="3"/>
      <c r="D47" s="3" t="s">
        <v>752</v>
      </c>
      <c r="E47" s="3"/>
      <c r="F47" s="3"/>
      <c r="G47" s="3"/>
      <c r="H47" s="3"/>
      <c r="I47" s="3"/>
      <c r="J47" s="3">
        <v>3</v>
      </c>
      <c r="K47" s="3"/>
      <c r="L47" s="3"/>
    </row>
    <row r="48" spans="1:12">
      <c r="A48" s="3" t="s">
        <v>744</v>
      </c>
      <c r="B48" s="14" t="s">
        <v>755</v>
      </c>
      <c r="C48" s="3"/>
      <c r="D48" s="3" t="s">
        <v>752</v>
      </c>
      <c r="E48" s="3"/>
      <c r="F48" s="3"/>
      <c r="G48" s="3"/>
      <c r="H48" s="3"/>
      <c r="I48" s="3"/>
      <c r="J48" s="3">
        <v>1</v>
      </c>
      <c r="K48" s="3"/>
      <c r="L48" s="3"/>
    </row>
    <row r="49" spans="1:12">
      <c r="A49" s="3" t="s">
        <v>744</v>
      </c>
      <c r="B49" s="34" t="s">
        <v>756</v>
      </c>
      <c r="C49" s="2"/>
      <c r="D49" s="2" t="s">
        <v>752</v>
      </c>
      <c r="E49" s="3"/>
      <c r="F49" s="3"/>
      <c r="G49" s="3"/>
      <c r="H49" s="3"/>
      <c r="I49" s="2"/>
      <c r="J49" s="3">
        <v>2</v>
      </c>
      <c r="K49" s="3"/>
      <c r="L49" s="3"/>
    </row>
    <row r="50" spans="1:12">
      <c r="A50" s="3" t="s">
        <v>744</v>
      </c>
      <c r="B50" s="12" t="s">
        <v>609</v>
      </c>
      <c r="C50" s="7"/>
      <c r="D50" s="153" t="s">
        <v>574</v>
      </c>
      <c r="E50" s="148"/>
      <c r="F50" s="148"/>
      <c r="G50" s="149"/>
      <c r="H50" s="149"/>
      <c r="I50" s="150">
        <v>110</v>
      </c>
      <c r="J50" s="149"/>
      <c r="K50" s="152"/>
      <c r="L50" s="152"/>
    </row>
    <row r="51" spans="1:12">
      <c r="A51" s="3" t="s">
        <v>744</v>
      </c>
      <c r="B51" s="34" t="s">
        <v>757</v>
      </c>
      <c r="C51" s="2"/>
      <c r="D51" s="60" t="s">
        <v>753</v>
      </c>
      <c r="E51" s="60"/>
      <c r="F51" s="60"/>
      <c r="G51" s="60"/>
      <c r="H51" s="60"/>
      <c r="I51" s="60">
        <v>105</v>
      </c>
      <c r="J51" s="60">
        <v>9</v>
      </c>
      <c r="K51" s="60"/>
      <c r="L51" s="60"/>
    </row>
    <row r="52" spans="1:12">
      <c r="A52" s="3" t="s">
        <v>744</v>
      </c>
      <c r="B52" s="34" t="s">
        <v>758</v>
      </c>
      <c r="C52" s="2"/>
      <c r="D52" s="2" t="s">
        <v>610</v>
      </c>
      <c r="E52" s="3"/>
      <c r="F52" s="3"/>
      <c r="G52" s="3"/>
      <c r="H52" s="3"/>
      <c r="I52" s="63" t="s">
        <v>611</v>
      </c>
      <c r="J52" s="3">
        <v>3</v>
      </c>
      <c r="K52" s="3"/>
      <c r="L52" s="3"/>
    </row>
    <row r="53" spans="1:12">
      <c r="A53" s="3" t="s">
        <v>744</v>
      </c>
      <c r="B53" s="34" t="s">
        <v>758</v>
      </c>
      <c r="C53" s="2"/>
      <c r="D53" s="2" t="s">
        <v>620</v>
      </c>
      <c r="E53" s="3"/>
      <c r="F53" s="3"/>
      <c r="G53" s="3"/>
      <c r="H53" s="3"/>
      <c r="I53" s="3">
        <v>35</v>
      </c>
      <c r="J53" s="3">
        <v>1</v>
      </c>
      <c r="K53" s="3"/>
      <c r="L53" s="3"/>
    </row>
    <row r="54" spans="1:12">
      <c r="A54" s="3" t="s">
        <v>744</v>
      </c>
      <c r="B54" s="14" t="s">
        <v>589</v>
      </c>
      <c r="C54" s="20"/>
      <c r="D54" s="23" t="s">
        <v>591</v>
      </c>
      <c r="E54" s="16"/>
      <c r="F54" s="16"/>
      <c r="G54" s="16"/>
      <c r="H54" s="16"/>
      <c r="I54" s="14"/>
      <c r="J54" s="16">
        <v>3</v>
      </c>
      <c r="K54" s="3"/>
      <c r="L54" s="3"/>
    </row>
    <row r="55" spans="1:12">
      <c r="A55" s="3" t="s">
        <v>745</v>
      </c>
      <c r="B55" s="14" t="s">
        <v>759</v>
      </c>
      <c r="C55" s="3"/>
      <c r="D55" s="145" t="s">
        <v>613</v>
      </c>
      <c r="E55" s="3"/>
      <c r="F55" s="3"/>
      <c r="G55" s="3"/>
      <c r="H55" s="3"/>
      <c r="I55" s="3"/>
      <c r="J55" s="3">
        <v>1</v>
      </c>
      <c r="K55" s="3"/>
      <c r="L55" s="3"/>
    </row>
    <row r="56" spans="1:12">
      <c r="A56" s="3" t="s">
        <v>745</v>
      </c>
      <c r="B56" s="14" t="s">
        <v>760</v>
      </c>
      <c r="C56" s="3"/>
      <c r="D56" s="145" t="s">
        <v>615</v>
      </c>
      <c r="E56" s="3"/>
      <c r="F56" s="3"/>
      <c r="G56" s="3"/>
      <c r="H56" s="3"/>
      <c r="I56" s="3">
        <v>90</v>
      </c>
      <c r="J56" s="3">
        <v>1</v>
      </c>
      <c r="K56" s="3"/>
      <c r="L56" s="3"/>
    </row>
    <row r="57" spans="1:12">
      <c r="A57" s="3" t="s">
        <v>745</v>
      </c>
      <c r="B57" s="14" t="s">
        <v>760</v>
      </c>
      <c r="C57" s="3"/>
      <c r="D57" s="145" t="s">
        <v>616</v>
      </c>
      <c r="E57" s="3"/>
      <c r="F57" s="3"/>
      <c r="G57" s="3"/>
      <c r="H57" s="3"/>
      <c r="I57" s="63" t="s">
        <v>617</v>
      </c>
      <c r="J57" s="3">
        <v>14</v>
      </c>
      <c r="K57" s="3"/>
      <c r="L57" s="3"/>
    </row>
    <row r="58" spans="1:12">
      <c r="A58" s="3" t="s">
        <v>745</v>
      </c>
      <c r="B58" s="14" t="s">
        <v>760</v>
      </c>
      <c r="C58" s="3"/>
      <c r="D58" s="145" t="s">
        <v>618</v>
      </c>
      <c r="E58" s="3"/>
      <c r="F58" s="3"/>
      <c r="G58" s="3"/>
      <c r="H58" s="3"/>
      <c r="I58" s="63" t="s">
        <v>619</v>
      </c>
      <c r="J58" s="3">
        <v>11</v>
      </c>
      <c r="K58" s="3"/>
      <c r="L58" s="3"/>
    </row>
    <row r="59" spans="1:12" ht="16.5">
      <c r="A59" s="3" t="s">
        <v>745</v>
      </c>
      <c r="B59" s="12" t="s">
        <v>572</v>
      </c>
      <c r="C59" s="7"/>
      <c r="D59" s="60" t="s">
        <v>779</v>
      </c>
      <c r="E59" s="148"/>
      <c r="F59" s="148"/>
      <c r="G59" s="149"/>
      <c r="H59" s="149"/>
      <c r="I59" s="150">
        <v>250</v>
      </c>
      <c r="J59" s="60">
        <v>15</v>
      </c>
      <c r="K59" s="150"/>
      <c r="L59" s="151" t="s">
        <v>575</v>
      </c>
    </row>
    <row r="60" spans="1:12">
      <c r="A60" s="3" t="s">
        <v>745</v>
      </c>
      <c r="B60" s="14" t="s">
        <v>761</v>
      </c>
      <c r="C60" s="3"/>
      <c r="D60" s="60" t="s">
        <v>780</v>
      </c>
      <c r="E60" s="60"/>
      <c r="F60" s="60"/>
      <c r="G60" s="60"/>
      <c r="H60" s="60"/>
      <c r="I60" s="60"/>
      <c r="J60" s="60">
        <v>8</v>
      </c>
      <c r="K60" s="60"/>
      <c r="L60" s="60"/>
    </row>
    <row r="61" spans="1:12">
      <c r="A61" s="3" t="s">
        <v>745</v>
      </c>
      <c r="B61" s="14" t="s">
        <v>762</v>
      </c>
      <c r="C61" s="3"/>
      <c r="D61" s="3" t="s">
        <v>607</v>
      </c>
      <c r="E61" s="3"/>
      <c r="F61" s="3"/>
      <c r="G61" s="3"/>
      <c r="H61" s="3"/>
      <c r="I61" s="3">
        <v>520</v>
      </c>
      <c r="J61" s="3">
        <v>1</v>
      </c>
      <c r="K61" s="3"/>
      <c r="L61" s="3"/>
    </row>
    <row r="62" spans="1:12">
      <c r="A62" s="3" t="s">
        <v>745</v>
      </c>
      <c r="B62" s="14" t="s">
        <v>760</v>
      </c>
      <c r="C62" s="3"/>
      <c r="D62" s="3" t="s">
        <v>620</v>
      </c>
      <c r="E62" s="3"/>
      <c r="F62" s="3"/>
      <c r="G62" s="3"/>
      <c r="H62" s="3"/>
      <c r="I62" s="3">
        <v>10</v>
      </c>
      <c r="J62" s="3">
        <v>6</v>
      </c>
      <c r="K62" s="3"/>
      <c r="L62" s="3"/>
    </row>
    <row r="63" spans="1:12">
      <c r="A63" s="3" t="s">
        <v>745</v>
      </c>
      <c r="B63" s="14" t="s">
        <v>762</v>
      </c>
      <c r="C63" s="3"/>
      <c r="D63" s="145" t="s">
        <v>621</v>
      </c>
      <c r="E63" s="3"/>
      <c r="F63" s="3"/>
      <c r="G63" s="3"/>
      <c r="H63" s="3"/>
      <c r="I63" s="3"/>
      <c r="J63" s="3">
        <v>1</v>
      </c>
      <c r="K63" s="3"/>
      <c r="L63" s="3"/>
    </row>
    <row r="64" spans="1:12">
      <c r="A64" s="3" t="s">
        <v>745</v>
      </c>
      <c r="B64" s="14" t="s">
        <v>577</v>
      </c>
      <c r="C64" s="20"/>
      <c r="D64" s="23" t="s">
        <v>594</v>
      </c>
      <c r="E64" s="16"/>
      <c r="F64" s="16"/>
      <c r="G64" s="16"/>
      <c r="H64" s="16"/>
      <c r="I64" s="14"/>
      <c r="J64" s="16">
        <v>3</v>
      </c>
      <c r="K64" s="3"/>
      <c r="L64" s="3"/>
    </row>
    <row r="65" spans="1:12">
      <c r="A65" s="3" t="s">
        <v>745</v>
      </c>
      <c r="B65" s="14" t="s">
        <v>763</v>
      </c>
      <c r="C65" s="3"/>
      <c r="D65" s="145" t="s">
        <v>624</v>
      </c>
      <c r="E65" s="3"/>
      <c r="F65" s="3"/>
      <c r="G65" s="3"/>
      <c r="H65" s="3"/>
      <c r="I65" s="3"/>
      <c r="J65" s="3">
        <v>1</v>
      </c>
      <c r="K65" s="3"/>
      <c r="L65" s="3"/>
    </row>
    <row r="66" spans="1:12">
      <c r="A66" s="3" t="s">
        <v>745</v>
      </c>
      <c r="B66" s="14" t="s">
        <v>764</v>
      </c>
      <c r="C66" s="3"/>
      <c r="D66" s="145" t="s">
        <v>621</v>
      </c>
      <c r="E66" s="3"/>
      <c r="F66" s="3"/>
      <c r="G66" s="3"/>
      <c r="H66" s="3"/>
      <c r="I66" s="63" t="s">
        <v>626</v>
      </c>
      <c r="J66" s="3">
        <v>2</v>
      </c>
      <c r="K66" s="3"/>
      <c r="L66" s="3"/>
    </row>
    <row r="67" spans="1:12">
      <c r="A67" s="3" t="s">
        <v>745</v>
      </c>
      <c r="B67" s="14" t="s">
        <v>765</v>
      </c>
      <c r="C67" s="3"/>
      <c r="D67" s="145" t="s">
        <v>628</v>
      </c>
      <c r="E67" s="3"/>
      <c r="F67" s="3"/>
      <c r="G67" s="3"/>
      <c r="H67" s="3"/>
      <c r="I67" s="63" t="s">
        <v>627</v>
      </c>
      <c r="J67" s="3">
        <v>2</v>
      </c>
      <c r="K67" s="3"/>
      <c r="L67" s="3"/>
    </row>
    <row r="68" spans="1:12">
      <c r="A68" s="3" t="s">
        <v>745</v>
      </c>
      <c r="B68" s="34" t="s">
        <v>765</v>
      </c>
      <c r="C68" s="2"/>
      <c r="D68" s="3" t="s">
        <v>771</v>
      </c>
      <c r="E68" s="2"/>
      <c r="F68" s="2"/>
      <c r="G68" s="2"/>
      <c r="H68" s="2"/>
      <c r="I68" s="194">
        <v>300</v>
      </c>
      <c r="J68" s="2">
        <v>2</v>
      </c>
      <c r="K68" s="3"/>
      <c r="L68" s="3"/>
    </row>
    <row r="69" spans="1:12">
      <c r="A69" s="3" t="s">
        <v>745</v>
      </c>
      <c r="B69" s="34" t="s">
        <v>766</v>
      </c>
      <c r="C69" s="35"/>
      <c r="D69" s="3" t="s">
        <v>770</v>
      </c>
      <c r="E69" s="36"/>
      <c r="F69" s="36"/>
      <c r="G69" s="36"/>
      <c r="H69" s="36"/>
      <c r="I69" s="194"/>
      <c r="J69" s="36">
        <v>511</v>
      </c>
      <c r="K69" s="3"/>
      <c r="L69" s="3"/>
    </row>
    <row r="70" spans="1:12">
      <c r="A70" s="3" t="s">
        <v>745</v>
      </c>
      <c r="B70" s="14" t="s">
        <v>580</v>
      </c>
      <c r="C70" s="20"/>
      <c r="D70" s="23" t="s">
        <v>598</v>
      </c>
      <c r="E70" s="16"/>
      <c r="F70" s="16"/>
      <c r="G70" s="16"/>
      <c r="H70" s="16"/>
      <c r="I70" s="14">
        <v>100</v>
      </c>
      <c r="J70" s="16">
        <v>2</v>
      </c>
      <c r="K70" s="3"/>
      <c r="L70" s="3"/>
    </row>
    <row r="71" spans="1:12">
      <c r="A71" s="3" t="s">
        <v>745</v>
      </c>
      <c r="B71" s="14" t="s">
        <v>767</v>
      </c>
      <c r="C71" s="3"/>
      <c r="D71" s="146" t="s">
        <v>641</v>
      </c>
      <c r="E71" s="3"/>
      <c r="F71" s="3"/>
      <c r="G71" s="3"/>
      <c r="H71" s="3"/>
      <c r="I71" s="63" t="s">
        <v>642</v>
      </c>
      <c r="J71" s="3">
        <v>1</v>
      </c>
      <c r="K71" s="3"/>
      <c r="L71" s="3"/>
    </row>
    <row r="72" spans="1:12">
      <c r="A72" s="3" t="s">
        <v>745</v>
      </c>
      <c r="B72" s="14" t="s">
        <v>768</v>
      </c>
      <c r="C72" s="3"/>
      <c r="D72" s="146" t="s">
        <v>769</v>
      </c>
      <c r="E72" s="3"/>
      <c r="F72" s="3"/>
      <c r="G72" s="3"/>
      <c r="H72" s="3"/>
      <c r="I72" s="63"/>
      <c r="J72" s="3">
        <v>2</v>
      </c>
      <c r="K72" s="3"/>
      <c r="L72" s="3"/>
    </row>
    <row r="73" spans="1:12">
      <c r="A73" s="3" t="s">
        <v>745</v>
      </c>
      <c r="B73" s="14" t="s">
        <v>768</v>
      </c>
      <c r="C73" s="3"/>
      <c r="D73" s="146" t="s">
        <v>751</v>
      </c>
      <c r="E73" s="3"/>
      <c r="F73" s="3"/>
      <c r="G73" s="3"/>
      <c r="H73" s="3"/>
      <c r="I73" s="3">
        <v>240</v>
      </c>
      <c r="J73" s="3"/>
      <c r="K73" s="3"/>
      <c r="L73" s="3"/>
    </row>
    <row r="74" spans="1:12">
      <c r="A74" s="3" t="s">
        <v>745</v>
      </c>
      <c r="B74" s="14" t="s">
        <v>767</v>
      </c>
      <c r="C74" s="3"/>
      <c r="D74" s="146" t="s">
        <v>607</v>
      </c>
      <c r="E74" s="3"/>
      <c r="F74" s="3"/>
      <c r="G74" s="3"/>
      <c r="H74" s="3"/>
      <c r="I74" s="3">
        <v>115</v>
      </c>
      <c r="J74" s="3">
        <v>1</v>
      </c>
      <c r="K74" s="3"/>
      <c r="L74" s="3"/>
    </row>
    <row r="75" spans="1:12">
      <c r="A75" s="3" t="s">
        <v>745</v>
      </c>
      <c r="B75" s="14" t="s">
        <v>767</v>
      </c>
      <c r="C75" s="3"/>
      <c r="D75" s="146" t="s">
        <v>620</v>
      </c>
      <c r="E75" s="3"/>
      <c r="F75" s="3"/>
      <c r="G75" s="3"/>
      <c r="H75" s="3"/>
      <c r="I75" s="3">
        <v>135</v>
      </c>
      <c r="J75" s="3">
        <v>10</v>
      </c>
      <c r="K75" s="3"/>
      <c r="L75" s="3"/>
    </row>
    <row r="76" spans="1:12">
      <c r="A76" s="3" t="s">
        <v>745</v>
      </c>
      <c r="B76" s="14" t="s">
        <v>768</v>
      </c>
      <c r="C76" s="3"/>
      <c r="D76" s="146" t="s">
        <v>643</v>
      </c>
      <c r="E76" s="3"/>
      <c r="F76" s="3"/>
      <c r="G76" s="3"/>
      <c r="H76" s="3"/>
      <c r="I76" s="63" t="s">
        <v>644</v>
      </c>
      <c r="J76" s="3">
        <v>5</v>
      </c>
      <c r="K76" s="3"/>
      <c r="L76" s="3"/>
    </row>
  </sheetData>
  <mergeCells count="2">
    <mergeCell ref="I68:I69"/>
    <mergeCell ref="I22:I24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opLeftCell="A61" workbookViewId="0">
      <selection activeCell="A136" sqref="A136"/>
    </sheetView>
  </sheetViews>
  <sheetFormatPr defaultRowHeight="15.75"/>
  <cols>
    <col min="1" max="1" width="12.42578125" bestFit="1" customWidth="1"/>
    <col min="3" max="3" width="14.140625" bestFit="1" customWidth="1"/>
    <col min="4" max="4" width="30.140625" bestFit="1" customWidth="1"/>
    <col min="5" max="8" width="0" hidden="1" customWidth="1"/>
    <col min="9" max="9" width="12.28515625" bestFit="1" customWidth="1"/>
    <col min="10" max="10" width="14.7109375" bestFit="1" customWidth="1"/>
    <col min="11" max="11" width="27" bestFit="1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9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s="52" customFormat="1" ht="15" customHeight="1">
      <c r="A2" s="76" t="s">
        <v>418</v>
      </c>
      <c r="B2" s="34" t="s">
        <v>63</v>
      </c>
      <c r="C2" s="54" t="s">
        <v>419</v>
      </c>
      <c r="D2" s="92" t="s">
        <v>66</v>
      </c>
      <c r="E2" s="3" t="s">
        <v>64</v>
      </c>
      <c r="F2" s="3" t="s">
        <v>65</v>
      </c>
      <c r="G2" s="55"/>
      <c r="H2" s="92"/>
      <c r="I2" s="92">
        <v>81</v>
      </c>
      <c r="J2" s="92">
        <v>5</v>
      </c>
      <c r="K2" s="54"/>
      <c r="L2" s="54" t="s">
        <v>67</v>
      </c>
    </row>
    <row r="3" spans="1:12" ht="15" customHeight="1">
      <c r="A3" s="76" t="s">
        <v>418</v>
      </c>
      <c r="B3" s="34" t="s">
        <v>68</v>
      </c>
      <c r="C3" s="56" t="s">
        <v>419</v>
      </c>
      <c r="D3" s="91" t="s">
        <v>66</v>
      </c>
      <c r="E3" s="3" t="s">
        <v>64</v>
      </c>
      <c r="F3" s="3" t="s">
        <v>65</v>
      </c>
      <c r="G3" s="57"/>
      <c r="H3" s="91"/>
      <c r="I3" s="91">
        <v>169</v>
      </c>
      <c r="J3" s="91">
        <v>18</v>
      </c>
      <c r="K3" s="56"/>
      <c r="L3" s="56" t="s">
        <v>69</v>
      </c>
    </row>
    <row r="4" spans="1:12" ht="15" customHeight="1">
      <c r="A4" s="76" t="s">
        <v>418</v>
      </c>
      <c r="B4" s="34" t="s">
        <v>68</v>
      </c>
      <c r="C4" s="54" t="s">
        <v>70</v>
      </c>
      <c r="D4" s="92" t="s">
        <v>72</v>
      </c>
      <c r="E4" s="3" t="s">
        <v>64</v>
      </c>
      <c r="F4" s="3" t="s">
        <v>71</v>
      </c>
      <c r="G4" s="55"/>
      <c r="H4" s="92"/>
      <c r="I4" s="92">
        <v>30</v>
      </c>
      <c r="J4" s="92">
        <v>1</v>
      </c>
      <c r="K4" s="54"/>
      <c r="L4" s="54" t="s">
        <v>73</v>
      </c>
    </row>
    <row r="5" spans="1:12" s="52" customFormat="1" ht="15" customHeight="1">
      <c r="A5" s="76" t="s">
        <v>418</v>
      </c>
      <c r="B5" s="34" t="s">
        <v>68</v>
      </c>
      <c r="C5" s="56" t="s">
        <v>92</v>
      </c>
      <c r="D5" s="91"/>
      <c r="E5" s="91" t="s">
        <v>64</v>
      </c>
      <c r="F5" s="91" t="s">
        <v>92</v>
      </c>
      <c r="G5" s="91"/>
      <c r="H5" s="91"/>
      <c r="I5" s="91">
        <v>8</v>
      </c>
      <c r="J5" s="91">
        <v>12</v>
      </c>
      <c r="K5" s="91"/>
      <c r="L5" s="91"/>
    </row>
    <row r="6" spans="1:12" ht="16.5">
      <c r="A6" s="76" t="s">
        <v>418</v>
      </c>
      <c r="B6" s="34" t="s">
        <v>111</v>
      </c>
      <c r="C6" s="54" t="s">
        <v>92</v>
      </c>
      <c r="D6" s="3"/>
      <c r="E6" s="91" t="s">
        <v>64</v>
      </c>
      <c r="F6" s="91" t="s">
        <v>92</v>
      </c>
      <c r="G6" s="3"/>
      <c r="H6" s="92"/>
      <c r="I6" s="92"/>
      <c r="J6" s="92">
        <v>4</v>
      </c>
      <c r="K6" s="92"/>
      <c r="L6" s="92"/>
    </row>
    <row r="7" spans="1:12" ht="16.5">
      <c r="A7" s="76" t="s">
        <v>418</v>
      </c>
      <c r="B7" s="34" t="s">
        <v>111</v>
      </c>
      <c r="C7" s="54" t="s">
        <v>419</v>
      </c>
      <c r="D7" s="92" t="s">
        <v>66</v>
      </c>
      <c r="E7" s="3" t="s">
        <v>64</v>
      </c>
      <c r="F7" s="3" t="s">
        <v>65</v>
      </c>
      <c r="G7" s="3"/>
      <c r="H7" s="92"/>
      <c r="I7" s="92">
        <v>530</v>
      </c>
      <c r="J7" s="92">
        <v>48</v>
      </c>
      <c r="K7" s="54"/>
      <c r="L7" s="54" t="s">
        <v>136</v>
      </c>
    </row>
    <row r="8" spans="1:12" ht="16.5">
      <c r="A8" s="76" t="s">
        <v>418</v>
      </c>
      <c r="B8" s="34" t="s">
        <v>111</v>
      </c>
      <c r="C8" s="56" t="s">
        <v>137</v>
      </c>
      <c r="D8" s="92" t="s">
        <v>72</v>
      </c>
      <c r="E8" s="3" t="s">
        <v>64</v>
      </c>
      <c r="F8" s="3" t="s">
        <v>71</v>
      </c>
      <c r="G8" s="3"/>
      <c r="H8" s="91"/>
      <c r="I8" s="91">
        <v>150</v>
      </c>
      <c r="J8" s="58">
        <v>5</v>
      </c>
      <c r="K8" s="54"/>
      <c r="L8" s="54" t="s">
        <v>138</v>
      </c>
    </row>
    <row r="9" spans="1:12" ht="16.5">
      <c r="A9" s="76" t="s">
        <v>418</v>
      </c>
      <c r="B9" s="34" t="s">
        <v>162</v>
      </c>
      <c r="C9" s="54" t="s">
        <v>420</v>
      </c>
      <c r="D9" s="92" t="s">
        <v>72</v>
      </c>
      <c r="E9" t="s">
        <v>64</v>
      </c>
      <c r="F9" t="s">
        <v>71</v>
      </c>
      <c r="G9" s="3"/>
      <c r="H9" s="181"/>
      <c r="I9" s="184">
        <v>121</v>
      </c>
      <c r="J9" s="92">
        <v>3</v>
      </c>
      <c r="K9" s="92"/>
      <c r="L9" s="92" t="s">
        <v>172</v>
      </c>
    </row>
    <row r="10" spans="1:12" ht="16.5">
      <c r="A10" s="76" t="s">
        <v>418</v>
      </c>
      <c r="B10" s="34" t="s">
        <v>162</v>
      </c>
      <c r="C10" s="56" t="s">
        <v>173</v>
      </c>
      <c r="D10" s="92" t="s">
        <v>66</v>
      </c>
      <c r="E10" t="s">
        <v>64</v>
      </c>
      <c r="F10" t="s">
        <v>65</v>
      </c>
      <c r="G10" s="3"/>
      <c r="H10" s="183"/>
      <c r="I10" s="184"/>
      <c r="J10" s="91">
        <v>20</v>
      </c>
      <c r="K10" s="91"/>
      <c r="L10" s="91" t="s">
        <v>172</v>
      </c>
    </row>
    <row r="11" spans="1:12" ht="16.5">
      <c r="A11" s="76" t="s">
        <v>418</v>
      </c>
      <c r="B11" s="34" t="s">
        <v>195</v>
      </c>
      <c r="C11" s="56" t="s">
        <v>200</v>
      </c>
      <c r="D11" s="3"/>
      <c r="E11" s="3" t="s">
        <v>64</v>
      </c>
      <c r="F11" s="3" t="s">
        <v>201</v>
      </c>
      <c r="G11" s="3"/>
      <c r="H11" s="91"/>
      <c r="I11" s="91">
        <v>61</v>
      </c>
      <c r="J11" s="91">
        <v>3</v>
      </c>
      <c r="K11" s="91"/>
      <c r="L11" s="91"/>
    </row>
    <row r="12" spans="1:12" ht="16.5">
      <c r="A12" s="76" t="s">
        <v>418</v>
      </c>
      <c r="B12" s="34" t="s">
        <v>195</v>
      </c>
      <c r="C12" s="56" t="s">
        <v>173</v>
      </c>
      <c r="D12" s="92" t="s">
        <v>66</v>
      </c>
      <c r="E12" s="3" t="s">
        <v>64</v>
      </c>
      <c r="F12" s="3" t="s">
        <v>65</v>
      </c>
      <c r="G12" s="3"/>
      <c r="H12" s="188"/>
      <c r="I12" s="190">
        <v>103</v>
      </c>
      <c r="J12" s="91">
        <v>16</v>
      </c>
      <c r="K12" s="91"/>
      <c r="L12" s="91"/>
    </row>
    <row r="13" spans="1:12" ht="16.5">
      <c r="A13" s="76" t="s">
        <v>418</v>
      </c>
      <c r="B13" s="34" t="s">
        <v>195</v>
      </c>
      <c r="C13" s="54" t="s">
        <v>137</v>
      </c>
      <c r="D13" s="92" t="s">
        <v>72</v>
      </c>
      <c r="E13" s="3" t="s">
        <v>64</v>
      </c>
      <c r="F13" s="3" t="s">
        <v>71</v>
      </c>
      <c r="G13" s="3"/>
      <c r="H13" s="189"/>
      <c r="I13" s="190"/>
      <c r="J13" s="92">
        <v>3</v>
      </c>
      <c r="K13" s="92"/>
      <c r="L13" s="92"/>
    </row>
    <row r="14" spans="1:12" ht="16.5">
      <c r="A14" s="76" t="s">
        <v>418</v>
      </c>
      <c r="B14" s="34" t="s">
        <v>208</v>
      </c>
      <c r="C14" s="54" t="s">
        <v>209</v>
      </c>
      <c r="D14" s="3"/>
      <c r="E14" s="3" t="s">
        <v>64</v>
      </c>
      <c r="F14" s="3" t="s">
        <v>210</v>
      </c>
      <c r="G14" s="3"/>
      <c r="H14" s="92"/>
      <c r="I14" s="92"/>
      <c r="J14" s="92">
        <v>21</v>
      </c>
      <c r="K14" s="92"/>
      <c r="L14" s="92"/>
    </row>
    <row r="15" spans="1:12" ht="16.5">
      <c r="A15" s="76" t="s">
        <v>418</v>
      </c>
      <c r="B15" s="34" t="s">
        <v>208</v>
      </c>
      <c r="C15" s="56" t="s">
        <v>425</v>
      </c>
      <c r="D15" s="92" t="s">
        <v>72</v>
      </c>
      <c r="E15" t="s">
        <v>64</v>
      </c>
      <c r="F15" t="s">
        <v>71</v>
      </c>
      <c r="G15" s="3"/>
      <c r="H15" s="91"/>
      <c r="I15" s="91"/>
      <c r="J15" s="91">
        <v>5</v>
      </c>
      <c r="K15" s="56"/>
      <c r="L15" s="56" t="s">
        <v>211</v>
      </c>
    </row>
    <row r="16" spans="1:12" ht="16.5">
      <c r="A16" s="76" t="s">
        <v>418</v>
      </c>
      <c r="B16" s="34" t="s">
        <v>229</v>
      </c>
      <c r="C16" s="56" t="s">
        <v>428</v>
      </c>
      <c r="D16" s="92" t="s">
        <v>72</v>
      </c>
      <c r="E16" s="3" t="s">
        <v>64</v>
      </c>
      <c r="F16" s="3" t="s">
        <v>71</v>
      </c>
      <c r="G16" s="3"/>
      <c r="H16" s="177"/>
      <c r="I16" s="180">
        <v>305</v>
      </c>
      <c r="J16" s="91">
        <v>7</v>
      </c>
      <c r="K16" s="56"/>
      <c r="L16" s="56" t="s">
        <v>250</v>
      </c>
    </row>
    <row r="17" spans="1:12" ht="16.5">
      <c r="A17" s="76" t="s">
        <v>418</v>
      </c>
      <c r="B17" s="34" t="s">
        <v>229</v>
      </c>
      <c r="C17" s="54" t="s">
        <v>429</v>
      </c>
      <c r="D17" s="92" t="s">
        <v>72</v>
      </c>
      <c r="E17" s="3" t="s">
        <v>64</v>
      </c>
      <c r="F17" s="3" t="s">
        <v>71</v>
      </c>
      <c r="G17" s="3"/>
      <c r="H17" s="178"/>
      <c r="I17" s="180"/>
      <c r="J17" s="92">
        <v>1</v>
      </c>
      <c r="K17" s="54"/>
      <c r="L17" s="54" t="s">
        <v>251</v>
      </c>
    </row>
    <row r="18" spans="1:12" ht="16.5">
      <c r="A18" s="76" t="s">
        <v>418</v>
      </c>
      <c r="B18" s="34" t="s">
        <v>229</v>
      </c>
      <c r="C18" s="56" t="s">
        <v>430</v>
      </c>
      <c r="D18" s="92" t="s">
        <v>72</v>
      </c>
      <c r="E18" s="3" t="s">
        <v>64</v>
      </c>
      <c r="F18" s="3" t="s">
        <v>71</v>
      </c>
      <c r="G18" s="3"/>
      <c r="H18" s="178"/>
      <c r="I18" s="180"/>
      <c r="J18" s="91">
        <v>2</v>
      </c>
      <c r="K18" s="56"/>
      <c r="L18" s="56" t="s">
        <v>252</v>
      </c>
    </row>
    <row r="19" spans="1:12" ht="16.5">
      <c r="A19" s="76" t="s">
        <v>418</v>
      </c>
      <c r="B19" s="34" t="s">
        <v>229</v>
      </c>
      <c r="C19" s="54" t="s">
        <v>431</v>
      </c>
      <c r="D19" s="92" t="s">
        <v>72</v>
      </c>
      <c r="E19" s="3" t="s">
        <v>64</v>
      </c>
      <c r="F19" s="3" t="s">
        <v>71</v>
      </c>
      <c r="G19" s="3"/>
      <c r="H19" s="178"/>
      <c r="I19" s="180"/>
      <c r="J19" s="92">
        <v>2</v>
      </c>
      <c r="K19" s="54"/>
      <c r="L19" s="54" t="s">
        <v>253</v>
      </c>
    </row>
    <row r="20" spans="1:12" ht="16.5">
      <c r="A20" s="76" t="s">
        <v>418</v>
      </c>
      <c r="B20" s="34" t="s">
        <v>229</v>
      </c>
      <c r="C20" s="56" t="s">
        <v>432</v>
      </c>
      <c r="D20" s="92" t="s">
        <v>72</v>
      </c>
      <c r="E20" s="3" t="s">
        <v>64</v>
      </c>
      <c r="F20" s="3" t="s">
        <v>71</v>
      </c>
      <c r="G20" s="3"/>
      <c r="H20" s="179"/>
      <c r="I20" s="180"/>
      <c r="J20" s="91">
        <v>1</v>
      </c>
      <c r="K20" s="56"/>
      <c r="L20" s="56" t="s">
        <v>254</v>
      </c>
    </row>
    <row r="21" spans="1:12" ht="16.5">
      <c r="A21" s="76" t="s">
        <v>418</v>
      </c>
      <c r="B21" s="34" t="s">
        <v>255</v>
      </c>
      <c r="C21" s="54" t="s">
        <v>428</v>
      </c>
      <c r="D21" s="92" t="s">
        <v>72</v>
      </c>
      <c r="E21" s="3" t="s">
        <v>64</v>
      </c>
      <c r="F21" s="3" t="s">
        <v>71</v>
      </c>
      <c r="G21" s="3"/>
      <c r="H21" s="195"/>
      <c r="I21" s="198">
        <v>240</v>
      </c>
      <c r="J21" s="92">
        <v>17</v>
      </c>
      <c r="K21" s="54"/>
      <c r="L21" s="54" t="s">
        <v>257</v>
      </c>
    </row>
    <row r="22" spans="1:12" ht="16.5">
      <c r="A22" s="76" t="s">
        <v>418</v>
      </c>
      <c r="B22" s="34" t="s">
        <v>255</v>
      </c>
      <c r="C22" s="56" t="s">
        <v>436</v>
      </c>
      <c r="D22" s="92" t="s">
        <v>72</v>
      </c>
      <c r="E22" s="3" t="s">
        <v>64</v>
      </c>
      <c r="F22" s="3" t="s">
        <v>71</v>
      </c>
      <c r="G22" s="3"/>
      <c r="H22" s="196"/>
      <c r="I22" s="198"/>
      <c r="J22" s="91">
        <v>1</v>
      </c>
      <c r="K22" s="56"/>
      <c r="L22" s="56" t="s">
        <v>258</v>
      </c>
    </row>
    <row r="23" spans="1:12" ht="16.5">
      <c r="A23" s="76" t="s">
        <v>418</v>
      </c>
      <c r="B23" s="34" t="s">
        <v>255</v>
      </c>
      <c r="C23" s="54" t="s">
        <v>430</v>
      </c>
      <c r="D23" s="92" t="s">
        <v>72</v>
      </c>
      <c r="E23" s="3" t="s">
        <v>64</v>
      </c>
      <c r="F23" s="3" t="s">
        <v>71</v>
      </c>
      <c r="G23" s="3"/>
      <c r="H23" s="196"/>
      <c r="I23" s="198"/>
      <c r="J23" s="92">
        <v>3</v>
      </c>
      <c r="K23" s="54"/>
      <c r="L23" s="54" t="s">
        <v>259</v>
      </c>
    </row>
    <row r="24" spans="1:12" ht="16.5">
      <c r="A24" s="76" t="s">
        <v>418</v>
      </c>
      <c r="B24" s="34" t="s">
        <v>255</v>
      </c>
      <c r="C24" s="56" t="s">
        <v>429</v>
      </c>
      <c r="D24" s="92" t="s">
        <v>72</v>
      </c>
      <c r="E24" s="3" t="s">
        <v>64</v>
      </c>
      <c r="F24" s="3" t="s">
        <v>71</v>
      </c>
      <c r="G24" s="3"/>
      <c r="H24" s="196"/>
      <c r="I24" s="198"/>
      <c r="J24" s="91">
        <v>2</v>
      </c>
      <c r="K24" s="56"/>
      <c r="L24" s="56" t="s">
        <v>260</v>
      </c>
    </row>
    <row r="25" spans="1:12" ht="16.5">
      <c r="A25" s="76" t="s">
        <v>418</v>
      </c>
      <c r="B25" s="34" t="s">
        <v>255</v>
      </c>
      <c r="C25" s="54" t="s">
        <v>437</v>
      </c>
      <c r="D25" s="92" t="s">
        <v>72</v>
      </c>
      <c r="E25" s="3" t="s">
        <v>64</v>
      </c>
      <c r="F25" s="3" t="s">
        <v>71</v>
      </c>
      <c r="G25" s="3"/>
      <c r="H25" s="196"/>
      <c r="I25" s="198"/>
      <c r="J25" s="92">
        <v>1</v>
      </c>
      <c r="K25" s="54"/>
      <c r="L25" s="54" t="s">
        <v>261</v>
      </c>
    </row>
    <row r="26" spans="1:12" ht="16.5">
      <c r="A26" s="76" t="s">
        <v>418</v>
      </c>
      <c r="B26" s="34" t="s">
        <v>255</v>
      </c>
      <c r="C26" s="56" t="s">
        <v>438</v>
      </c>
      <c r="D26" s="92" t="s">
        <v>72</v>
      </c>
      <c r="E26" s="3" t="s">
        <v>64</v>
      </c>
      <c r="F26" s="3" t="s">
        <v>71</v>
      </c>
      <c r="G26" s="3"/>
      <c r="H26" s="196"/>
      <c r="I26" s="198"/>
      <c r="J26" s="91">
        <v>2</v>
      </c>
      <c r="K26" s="56"/>
      <c r="L26" s="56" t="s">
        <v>262</v>
      </c>
    </row>
    <row r="27" spans="1:12" ht="16.5">
      <c r="A27" s="76" t="s">
        <v>418</v>
      </c>
      <c r="B27" s="34" t="s">
        <v>255</v>
      </c>
      <c r="C27" s="54" t="s">
        <v>439</v>
      </c>
      <c r="D27" s="92" t="s">
        <v>72</v>
      </c>
      <c r="E27" s="3" t="s">
        <v>64</v>
      </c>
      <c r="F27" s="3" t="s">
        <v>71</v>
      </c>
      <c r="G27" s="3"/>
      <c r="H27" s="197"/>
      <c r="I27" s="198"/>
      <c r="J27" s="92">
        <v>1</v>
      </c>
      <c r="K27" s="54"/>
      <c r="L27" s="54" t="s">
        <v>263</v>
      </c>
    </row>
    <row r="28" spans="1:12" ht="16.5">
      <c r="A28" s="76" t="s">
        <v>418</v>
      </c>
      <c r="B28" s="34" t="s">
        <v>255</v>
      </c>
      <c r="C28" s="56" t="s">
        <v>200</v>
      </c>
      <c r="D28" s="3"/>
      <c r="E28" s="3" t="s">
        <v>64</v>
      </c>
      <c r="F28" s="3" t="s">
        <v>201</v>
      </c>
      <c r="G28" s="3"/>
      <c r="H28" s="91"/>
      <c r="I28" s="91"/>
      <c r="J28" s="91">
        <v>3</v>
      </c>
      <c r="K28" s="91"/>
      <c r="L28" s="91"/>
    </row>
    <row r="29" spans="1:12" ht="16.5">
      <c r="A29" s="76" t="s">
        <v>418</v>
      </c>
      <c r="B29" s="34" t="s">
        <v>277</v>
      </c>
      <c r="C29" s="56" t="s">
        <v>278</v>
      </c>
      <c r="D29" s="3"/>
      <c r="E29" s="3" t="s">
        <v>64</v>
      </c>
      <c r="F29" s="3" t="s">
        <v>279</v>
      </c>
      <c r="G29" s="3" t="s">
        <v>280</v>
      </c>
      <c r="H29" s="91"/>
      <c r="I29" s="91"/>
      <c r="J29" s="91">
        <v>1</v>
      </c>
      <c r="K29" s="91"/>
      <c r="L29" s="91"/>
    </row>
    <row r="30" spans="1:12" ht="16.5">
      <c r="A30" s="76" t="s">
        <v>418</v>
      </c>
      <c r="B30" s="34" t="s">
        <v>277</v>
      </c>
      <c r="C30" s="54" t="s">
        <v>445</v>
      </c>
      <c r="D30" s="92" t="s">
        <v>72</v>
      </c>
      <c r="E30" s="3" t="s">
        <v>64</v>
      </c>
      <c r="F30" s="3" t="s">
        <v>71</v>
      </c>
      <c r="G30" s="3"/>
      <c r="H30" s="92"/>
      <c r="I30" s="92"/>
      <c r="J30" s="92">
        <v>1</v>
      </c>
      <c r="K30" s="54"/>
      <c r="L30" s="54" t="s">
        <v>281</v>
      </c>
    </row>
    <row r="31" spans="1:12" ht="16.5">
      <c r="A31" s="76" t="s">
        <v>418</v>
      </c>
      <c r="B31" s="34" t="s">
        <v>277</v>
      </c>
      <c r="C31" s="56" t="s">
        <v>446</v>
      </c>
      <c r="D31" s="92" t="s">
        <v>72</v>
      </c>
      <c r="E31" s="3" t="s">
        <v>64</v>
      </c>
      <c r="F31" s="3" t="s">
        <v>71</v>
      </c>
      <c r="G31" s="3"/>
      <c r="H31" s="91"/>
      <c r="I31" s="91"/>
      <c r="J31" s="91">
        <v>2</v>
      </c>
      <c r="K31" s="56"/>
      <c r="L31" s="56" t="s">
        <v>282</v>
      </c>
    </row>
    <row r="32" spans="1:12" ht="16.5">
      <c r="A32" s="76" t="s">
        <v>418</v>
      </c>
      <c r="B32" s="34" t="s">
        <v>277</v>
      </c>
      <c r="C32" s="54" t="s">
        <v>447</v>
      </c>
      <c r="D32" s="92" t="s">
        <v>72</v>
      </c>
      <c r="E32" s="3" t="s">
        <v>64</v>
      </c>
      <c r="F32" s="3" t="s">
        <v>71</v>
      </c>
      <c r="G32" s="3"/>
      <c r="H32" s="92"/>
      <c r="I32" s="92"/>
      <c r="J32" s="92">
        <v>1</v>
      </c>
      <c r="K32" s="54"/>
      <c r="L32" s="54" t="s">
        <v>283</v>
      </c>
    </row>
    <row r="33" spans="1:12" ht="16.5">
      <c r="A33" s="76" t="s">
        <v>418</v>
      </c>
      <c r="B33" s="34" t="s">
        <v>277</v>
      </c>
      <c r="C33" s="54" t="s">
        <v>70</v>
      </c>
      <c r="D33" s="92" t="s">
        <v>72</v>
      </c>
      <c r="E33" s="3" t="s">
        <v>64</v>
      </c>
      <c r="F33" s="3" t="s">
        <v>71</v>
      </c>
      <c r="G33" s="3"/>
      <c r="H33" s="92"/>
      <c r="I33" s="92"/>
      <c r="J33" s="92">
        <v>1</v>
      </c>
      <c r="K33" s="54"/>
      <c r="L33" s="54" t="s">
        <v>290</v>
      </c>
    </row>
    <row r="34" spans="1:12" ht="16.5">
      <c r="A34" s="76" t="s">
        <v>418</v>
      </c>
      <c r="B34" s="34" t="s">
        <v>291</v>
      </c>
      <c r="C34" s="54" t="s">
        <v>173</v>
      </c>
      <c r="D34" s="92" t="s">
        <v>66</v>
      </c>
      <c r="E34" t="s">
        <v>64</v>
      </c>
      <c r="F34" t="s">
        <v>65</v>
      </c>
      <c r="G34" s="3"/>
      <c r="H34" s="92"/>
      <c r="I34" s="92"/>
      <c r="J34" s="92">
        <v>2</v>
      </c>
      <c r="K34" s="54"/>
      <c r="L34" s="54"/>
    </row>
    <row r="35" spans="1:12" ht="16.5">
      <c r="A35" s="76" t="s">
        <v>418</v>
      </c>
      <c r="B35" s="34" t="s">
        <v>301</v>
      </c>
      <c r="C35" s="54" t="s">
        <v>200</v>
      </c>
      <c r="D35" s="3"/>
      <c r="E35" s="3" t="s">
        <v>64</v>
      </c>
      <c r="F35" s="3" t="s">
        <v>201</v>
      </c>
      <c r="G35" s="3"/>
      <c r="H35" s="92"/>
      <c r="I35" s="92"/>
      <c r="J35" s="92">
        <v>2</v>
      </c>
      <c r="K35" s="54"/>
      <c r="L35" s="54"/>
    </row>
    <row r="36" spans="1:12" s="3" customFormat="1" ht="16.5">
      <c r="A36" s="76" t="s">
        <v>418</v>
      </c>
      <c r="B36" s="34" t="s">
        <v>301</v>
      </c>
      <c r="C36" s="54" t="s">
        <v>173</v>
      </c>
      <c r="D36" s="92" t="s">
        <v>66</v>
      </c>
      <c r="E36" s="3" t="s">
        <v>64</v>
      </c>
      <c r="F36" s="3" t="s">
        <v>65</v>
      </c>
      <c r="H36" s="92"/>
      <c r="I36" s="92">
        <v>70</v>
      </c>
      <c r="J36" s="92">
        <v>15</v>
      </c>
      <c r="K36" s="54"/>
      <c r="L36" s="54"/>
    </row>
    <row r="37" spans="1:12" s="3" customFormat="1" ht="16.5">
      <c r="A37" s="76" t="s">
        <v>418</v>
      </c>
      <c r="B37" s="34" t="s">
        <v>301</v>
      </c>
      <c r="C37" s="56" t="s">
        <v>420</v>
      </c>
      <c r="D37" s="92" t="s">
        <v>72</v>
      </c>
      <c r="E37" s="3" t="s">
        <v>64</v>
      </c>
      <c r="F37" s="3" t="s">
        <v>71</v>
      </c>
      <c r="H37" s="91"/>
      <c r="I37" s="91">
        <v>30</v>
      </c>
      <c r="J37" s="91">
        <v>2</v>
      </c>
      <c r="K37" s="56"/>
      <c r="L37" s="56" t="s">
        <v>302</v>
      </c>
    </row>
    <row r="38" spans="1:12" ht="16.5">
      <c r="A38" s="76" t="s">
        <v>418</v>
      </c>
      <c r="B38" s="34" t="s">
        <v>304</v>
      </c>
      <c r="C38" s="54" t="s">
        <v>315</v>
      </c>
      <c r="D38" s="3"/>
      <c r="E38" s="3" t="s">
        <v>64</v>
      </c>
      <c r="F38" s="3" t="s">
        <v>201</v>
      </c>
      <c r="G38" s="3"/>
      <c r="H38" s="92"/>
      <c r="I38" s="92"/>
      <c r="J38" s="92">
        <v>2</v>
      </c>
      <c r="K38" s="54"/>
      <c r="L38" s="54" t="s">
        <v>316</v>
      </c>
    </row>
    <row r="39" spans="1:12" ht="16.5">
      <c r="A39" s="76" t="s">
        <v>418</v>
      </c>
      <c r="B39" s="34" t="s">
        <v>304</v>
      </c>
      <c r="C39" s="54" t="s">
        <v>315</v>
      </c>
      <c r="D39" s="3"/>
      <c r="E39" s="3" t="s">
        <v>64</v>
      </c>
      <c r="F39" s="3" t="s">
        <v>201</v>
      </c>
      <c r="G39" s="3"/>
      <c r="H39" s="92"/>
      <c r="I39" s="92"/>
      <c r="J39" s="92">
        <v>5</v>
      </c>
      <c r="K39" s="54"/>
      <c r="L39" s="54" t="s">
        <v>320</v>
      </c>
    </row>
    <row r="40" spans="1:12" ht="16.5">
      <c r="A40" s="76" t="s">
        <v>418</v>
      </c>
      <c r="B40" s="34" t="s">
        <v>304</v>
      </c>
      <c r="C40" s="56" t="s">
        <v>420</v>
      </c>
      <c r="D40" s="92" t="s">
        <v>72</v>
      </c>
      <c r="E40" t="s">
        <v>64</v>
      </c>
      <c r="F40" t="s">
        <v>71</v>
      </c>
      <c r="G40" s="3"/>
      <c r="H40" s="91"/>
      <c r="I40" s="91"/>
      <c r="J40" s="91">
        <v>16</v>
      </c>
      <c r="K40" s="56"/>
      <c r="L40" s="56" t="s">
        <v>321</v>
      </c>
    </row>
    <row r="41" spans="1:12" ht="16.5">
      <c r="A41" s="76" t="s">
        <v>418</v>
      </c>
      <c r="B41" s="34" t="s">
        <v>304</v>
      </c>
      <c r="C41" s="54" t="s">
        <v>449</v>
      </c>
      <c r="D41" s="92" t="s">
        <v>72</v>
      </c>
      <c r="E41" t="s">
        <v>64</v>
      </c>
      <c r="F41" t="s">
        <v>71</v>
      </c>
      <c r="G41" s="3"/>
      <c r="H41" s="92"/>
      <c r="I41" s="92"/>
      <c r="J41" s="92">
        <v>3</v>
      </c>
      <c r="K41" s="54"/>
      <c r="L41" s="54" t="s">
        <v>322</v>
      </c>
    </row>
    <row r="42" spans="1:12" ht="16.5">
      <c r="A42" s="76" t="s">
        <v>418</v>
      </c>
      <c r="B42" s="34" t="s">
        <v>304</v>
      </c>
      <c r="C42" s="54" t="s">
        <v>450</v>
      </c>
      <c r="D42" s="92" t="s">
        <v>66</v>
      </c>
      <c r="E42" s="3" t="s">
        <v>64</v>
      </c>
      <c r="F42" s="3" t="s">
        <v>65</v>
      </c>
      <c r="G42" s="3"/>
      <c r="H42" s="92"/>
      <c r="I42" s="92"/>
      <c r="J42" s="92">
        <v>5</v>
      </c>
      <c r="K42" s="54"/>
      <c r="L42" s="54" t="s">
        <v>330</v>
      </c>
    </row>
    <row r="43" spans="1:12" ht="16.5">
      <c r="A43" s="76" t="s">
        <v>418</v>
      </c>
      <c r="B43" s="34" t="s">
        <v>304</v>
      </c>
      <c r="C43" s="56" t="s">
        <v>451</v>
      </c>
      <c r="D43" s="92" t="s">
        <v>66</v>
      </c>
      <c r="E43" s="3" t="s">
        <v>64</v>
      </c>
      <c r="F43" s="3" t="s">
        <v>65</v>
      </c>
      <c r="G43" s="3"/>
      <c r="H43" s="91"/>
      <c r="I43" s="91"/>
      <c r="J43" s="91">
        <v>88</v>
      </c>
      <c r="K43" s="56"/>
      <c r="L43" s="56" t="s">
        <v>331</v>
      </c>
    </row>
    <row r="44" spans="1:12" ht="16.5">
      <c r="A44" s="76" t="s">
        <v>418</v>
      </c>
      <c r="B44" s="34" t="s">
        <v>332</v>
      </c>
      <c r="C44" s="56" t="s">
        <v>315</v>
      </c>
      <c r="D44" s="3"/>
      <c r="E44" s="3" t="s">
        <v>64</v>
      </c>
      <c r="F44" s="3" t="s">
        <v>201</v>
      </c>
      <c r="G44" s="3"/>
      <c r="H44" s="91"/>
      <c r="I44" s="91"/>
      <c r="J44" s="91">
        <v>39</v>
      </c>
      <c r="K44" s="56"/>
      <c r="L44" s="56" t="s">
        <v>333</v>
      </c>
    </row>
    <row r="45" spans="1:12" ht="16.5">
      <c r="A45" s="76" t="s">
        <v>418</v>
      </c>
      <c r="B45" s="34" t="s">
        <v>332</v>
      </c>
      <c r="C45" s="54" t="s">
        <v>315</v>
      </c>
      <c r="D45" s="3"/>
      <c r="E45" s="3" t="s">
        <v>64</v>
      </c>
      <c r="F45" s="3" t="s">
        <v>201</v>
      </c>
      <c r="G45" s="3"/>
      <c r="H45" s="92"/>
      <c r="I45" s="92"/>
      <c r="J45" s="92">
        <v>6</v>
      </c>
      <c r="K45" s="54"/>
      <c r="L45" s="54" t="s">
        <v>334</v>
      </c>
    </row>
    <row r="46" spans="1:12" ht="16.5">
      <c r="A46" s="76" t="s">
        <v>418</v>
      </c>
      <c r="B46" s="34" t="s">
        <v>332</v>
      </c>
      <c r="C46" s="56" t="s">
        <v>315</v>
      </c>
      <c r="D46" s="3"/>
      <c r="E46" s="3" t="s">
        <v>64</v>
      </c>
      <c r="F46" s="3" t="s">
        <v>201</v>
      </c>
      <c r="G46" s="3"/>
      <c r="H46" s="91"/>
      <c r="I46" s="91"/>
      <c r="J46" s="91">
        <v>35</v>
      </c>
      <c r="K46" s="56"/>
      <c r="L46" s="56" t="s">
        <v>335</v>
      </c>
    </row>
    <row r="47" spans="1:12" ht="16.5">
      <c r="A47" s="76" t="s">
        <v>418</v>
      </c>
      <c r="B47" s="34" t="s">
        <v>332</v>
      </c>
      <c r="C47" s="54" t="s">
        <v>452</v>
      </c>
      <c r="D47" s="92" t="s">
        <v>66</v>
      </c>
      <c r="E47" t="s">
        <v>64</v>
      </c>
      <c r="F47" t="s">
        <v>65</v>
      </c>
      <c r="G47" s="3"/>
      <c r="H47" s="92"/>
      <c r="I47" s="92"/>
      <c r="J47" s="92">
        <v>4</v>
      </c>
      <c r="K47" s="54"/>
      <c r="L47" s="54" t="s">
        <v>336</v>
      </c>
    </row>
    <row r="48" spans="1:12" ht="16.5">
      <c r="A48" s="76" t="s">
        <v>418</v>
      </c>
      <c r="B48" s="34" t="s">
        <v>332</v>
      </c>
      <c r="C48" s="56" t="s">
        <v>453</v>
      </c>
      <c r="D48" s="92" t="s">
        <v>66</v>
      </c>
      <c r="E48" t="s">
        <v>64</v>
      </c>
      <c r="F48" t="s">
        <v>65</v>
      </c>
      <c r="G48" s="3"/>
      <c r="H48" s="91"/>
      <c r="I48" s="91"/>
      <c r="J48" s="91">
        <v>55</v>
      </c>
      <c r="K48" s="91"/>
      <c r="L48" s="91" t="s">
        <v>337</v>
      </c>
    </row>
    <row r="49" spans="1:12" ht="16.5">
      <c r="A49" s="76" t="s">
        <v>418</v>
      </c>
      <c r="B49" s="34" t="s">
        <v>332</v>
      </c>
      <c r="C49" s="54" t="s">
        <v>454</v>
      </c>
      <c r="D49" s="92" t="s">
        <v>66</v>
      </c>
      <c r="E49" t="s">
        <v>64</v>
      </c>
      <c r="F49" t="s">
        <v>65</v>
      </c>
      <c r="G49" s="3"/>
      <c r="H49" s="92"/>
      <c r="I49" s="92"/>
      <c r="J49" s="92">
        <v>2</v>
      </c>
      <c r="K49" s="54"/>
      <c r="L49" s="54" t="s">
        <v>338</v>
      </c>
    </row>
    <row r="50" spans="1:12" ht="16.5">
      <c r="A50" s="76" t="s">
        <v>418</v>
      </c>
      <c r="B50" s="34" t="s">
        <v>332</v>
      </c>
      <c r="C50" s="56" t="s">
        <v>451</v>
      </c>
      <c r="D50" s="92" t="s">
        <v>66</v>
      </c>
      <c r="E50" t="s">
        <v>64</v>
      </c>
      <c r="F50" t="s">
        <v>65</v>
      </c>
      <c r="G50" s="3"/>
      <c r="H50" s="91"/>
      <c r="I50" s="91"/>
      <c r="J50" s="91">
        <v>7</v>
      </c>
      <c r="K50" s="91"/>
      <c r="L50" s="91" t="s">
        <v>339</v>
      </c>
    </row>
    <row r="51" spans="1:12" ht="16.5">
      <c r="A51" s="76" t="s">
        <v>418</v>
      </c>
      <c r="B51" s="34" t="s">
        <v>332</v>
      </c>
      <c r="C51" s="54" t="s">
        <v>450</v>
      </c>
      <c r="D51" s="92" t="s">
        <v>66</v>
      </c>
      <c r="E51" t="s">
        <v>64</v>
      </c>
      <c r="F51" t="s">
        <v>65</v>
      </c>
      <c r="G51" s="3"/>
      <c r="H51" s="92"/>
      <c r="I51" s="92"/>
      <c r="J51" s="92">
        <v>2</v>
      </c>
      <c r="K51" s="54"/>
      <c r="L51" s="54" t="s">
        <v>340</v>
      </c>
    </row>
    <row r="52" spans="1:12" ht="16.5">
      <c r="A52" s="76" t="s">
        <v>418</v>
      </c>
      <c r="B52" s="34" t="s">
        <v>332</v>
      </c>
      <c r="C52" s="56" t="s">
        <v>455</v>
      </c>
      <c r="D52" s="92" t="s">
        <v>72</v>
      </c>
      <c r="E52" t="s">
        <v>64</v>
      </c>
      <c r="F52" t="s">
        <v>71</v>
      </c>
      <c r="G52" s="3"/>
      <c r="H52" s="91"/>
      <c r="I52" s="91"/>
      <c r="J52" s="91">
        <v>1</v>
      </c>
      <c r="K52" s="91"/>
      <c r="L52" s="91" t="s">
        <v>341</v>
      </c>
    </row>
    <row r="53" spans="1:12" ht="16.5">
      <c r="A53" s="76" t="s">
        <v>418</v>
      </c>
      <c r="B53" s="34" t="s">
        <v>332</v>
      </c>
      <c r="C53" s="54" t="s">
        <v>449</v>
      </c>
      <c r="D53" s="92" t="s">
        <v>72</v>
      </c>
      <c r="E53" t="s">
        <v>64</v>
      </c>
      <c r="F53" t="s">
        <v>71</v>
      </c>
      <c r="G53" s="3"/>
      <c r="H53" s="92"/>
      <c r="I53" s="92"/>
      <c r="J53" s="92">
        <v>1</v>
      </c>
      <c r="K53" s="54"/>
      <c r="L53" s="54" t="s">
        <v>342</v>
      </c>
    </row>
    <row r="54" spans="1:12" ht="16.5">
      <c r="A54" s="76" t="s">
        <v>418</v>
      </c>
      <c r="B54" s="34" t="s">
        <v>332</v>
      </c>
      <c r="C54" s="56" t="s">
        <v>456</v>
      </c>
      <c r="D54" s="92" t="s">
        <v>72</v>
      </c>
      <c r="E54" t="s">
        <v>64</v>
      </c>
      <c r="F54" t="s">
        <v>71</v>
      </c>
      <c r="G54" s="3"/>
      <c r="H54" s="91"/>
      <c r="I54" s="91"/>
      <c r="J54" s="91">
        <v>2</v>
      </c>
      <c r="K54" s="91"/>
      <c r="L54" s="91" t="s">
        <v>343</v>
      </c>
    </row>
    <row r="55" spans="1:12" ht="16.5">
      <c r="A55" s="76" t="s">
        <v>418</v>
      </c>
      <c r="B55" s="34" t="s">
        <v>332</v>
      </c>
      <c r="C55" s="54" t="s">
        <v>92</v>
      </c>
      <c r="D55" s="3"/>
      <c r="E55" s="91" t="s">
        <v>64</v>
      </c>
      <c r="F55" s="91" t="s">
        <v>92</v>
      </c>
      <c r="G55" s="3"/>
      <c r="H55" s="92"/>
      <c r="I55" s="92"/>
      <c r="J55" s="92">
        <v>3</v>
      </c>
      <c r="K55" s="54"/>
      <c r="L55" s="54"/>
    </row>
    <row r="56" spans="1:12" ht="16.5">
      <c r="A56" s="76" t="s">
        <v>418</v>
      </c>
      <c r="B56" s="34" t="s">
        <v>332</v>
      </c>
      <c r="C56" s="54" t="s">
        <v>315</v>
      </c>
      <c r="D56" s="3"/>
      <c r="E56" s="3" t="s">
        <v>64</v>
      </c>
      <c r="F56" s="3" t="s">
        <v>201</v>
      </c>
      <c r="G56" s="3"/>
      <c r="H56" s="92"/>
      <c r="I56" s="92"/>
      <c r="J56" s="92">
        <v>1</v>
      </c>
      <c r="K56" s="54"/>
      <c r="L56" s="54"/>
    </row>
    <row r="57" spans="1:12" ht="16.5">
      <c r="A57" s="76" t="s">
        <v>418</v>
      </c>
      <c r="B57" s="34" t="s">
        <v>353</v>
      </c>
      <c r="C57" s="56" t="s">
        <v>452</v>
      </c>
      <c r="D57" s="92" t="s">
        <v>66</v>
      </c>
      <c r="E57" t="s">
        <v>64</v>
      </c>
      <c r="F57" t="s">
        <v>65</v>
      </c>
      <c r="G57" s="3"/>
      <c r="H57" s="91"/>
      <c r="I57" s="91"/>
      <c r="J57" s="91">
        <v>7</v>
      </c>
      <c r="K57" s="56"/>
      <c r="L57" s="56" t="s">
        <v>363</v>
      </c>
    </row>
    <row r="58" spans="1:12" ht="16.5">
      <c r="A58" s="76" t="s">
        <v>418</v>
      </c>
      <c r="B58" s="34" t="s">
        <v>353</v>
      </c>
      <c r="C58" s="54" t="s">
        <v>457</v>
      </c>
      <c r="D58" s="92" t="s">
        <v>66</v>
      </c>
      <c r="E58" t="s">
        <v>64</v>
      </c>
      <c r="F58" t="s">
        <v>65</v>
      </c>
      <c r="G58" s="3"/>
      <c r="H58" s="92"/>
      <c r="I58" s="92"/>
      <c r="J58" s="92">
        <v>48</v>
      </c>
      <c r="K58" s="54"/>
      <c r="L58" s="54" t="s">
        <v>364</v>
      </c>
    </row>
    <row r="59" spans="1:12" ht="16.5">
      <c r="A59" s="76" t="s">
        <v>418</v>
      </c>
      <c r="B59" s="34" t="s">
        <v>353</v>
      </c>
      <c r="C59" s="56" t="s">
        <v>453</v>
      </c>
      <c r="D59" s="92" t="s">
        <v>66</v>
      </c>
      <c r="E59" t="s">
        <v>64</v>
      </c>
      <c r="F59" t="s">
        <v>65</v>
      </c>
      <c r="G59" s="3"/>
      <c r="H59" s="91"/>
      <c r="I59" s="91"/>
      <c r="J59" s="91">
        <v>12</v>
      </c>
      <c r="K59" s="56"/>
      <c r="L59" s="56" t="s">
        <v>365</v>
      </c>
    </row>
    <row r="60" spans="1:12" ht="16.5">
      <c r="A60" s="76" t="s">
        <v>418</v>
      </c>
      <c r="B60" s="34" t="s">
        <v>353</v>
      </c>
      <c r="C60" s="54" t="s">
        <v>453</v>
      </c>
      <c r="D60" s="92" t="s">
        <v>66</v>
      </c>
      <c r="E60" t="s">
        <v>64</v>
      </c>
      <c r="F60" t="s">
        <v>65</v>
      </c>
      <c r="G60" s="3"/>
      <c r="H60" s="92"/>
      <c r="I60" s="92"/>
      <c r="J60" s="92">
        <v>2</v>
      </c>
      <c r="K60" s="54"/>
      <c r="L60" s="54" t="s">
        <v>366</v>
      </c>
    </row>
    <row r="61" spans="1:12" ht="16.5">
      <c r="A61" s="76" t="s">
        <v>418</v>
      </c>
      <c r="B61" s="34" t="s">
        <v>353</v>
      </c>
      <c r="C61" s="56" t="s">
        <v>458</v>
      </c>
      <c r="D61" s="92" t="s">
        <v>66</v>
      </c>
      <c r="E61" t="s">
        <v>64</v>
      </c>
      <c r="F61" t="s">
        <v>65</v>
      </c>
      <c r="G61" s="3"/>
      <c r="H61" s="91"/>
      <c r="I61" s="91"/>
      <c r="J61" s="91">
        <v>1</v>
      </c>
      <c r="K61" s="56"/>
      <c r="L61" s="56" t="s">
        <v>367</v>
      </c>
    </row>
    <row r="62" spans="1:12" ht="16.5">
      <c r="A62" s="76" t="s">
        <v>418</v>
      </c>
      <c r="B62" s="34" t="s">
        <v>353</v>
      </c>
      <c r="C62" s="54" t="s">
        <v>459</v>
      </c>
      <c r="D62" s="92" t="s">
        <v>72</v>
      </c>
      <c r="E62" t="s">
        <v>64</v>
      </c>
      <c r="F62" t="s">
        <v>71</v>
      </c>
      <c r="G62" s="3"/>
      <c r="H62" s="92"/>
      <c r="I62" s="92"/>
      <c r="J62" s="92">
        <v>1</v>
      </c>
      <c r="K62" s="54"/>
      <c r="L62" s="54" t="s">
        <v>368</v>
      </c>
    </row>
    <row r="63" spans="1:12" ht="16.5">
      <c r="A63" s="76" t="s">
        <v>418</v>
      </c>
      <c r="B63" s="34" t="s">
        <v>353</v>
      </c>
      <c r="C63" s="56" t="s">
        <v>420</v>
      </c>
      <c r="D63" s="92" t="s">
        <v>72</v>
      </c>
      <c r="E63" t="s">
        <v>64</v>
      </c>
      <c r="F63" t="s">
        <v>71</v>
      </c>
      <c r="G63" s="3"/>
      <c r="H63" s="91"/>
      <c r="I63" s="91"/>
      <c r="J63" s="91">
        <v>4</v>
      </c>
      <c r="K63" s="56"/>
      <c r="L63" s="56" t="s">
        <v>369</v>
      </c>
    </row>
    <row r="64" spans="1:12" ht="16.5">
      <c r="A64" s="76" t="s">
        <v>418</v>
      </c>
      <c r="B64" s="34" t="s">
        <v>353</v>
      </c>
      <c r="C64" s="56" t="s">
        <v>315</v>
      </c>
      <c r="D64" s="3"/>
      <c r="E64" s="3" t="s">
        <v>64</v>
      </c>
      <c r="F64" s="3" t="s">
        <v>201</v>
      </c>
      <c r="G64" s="3"/>
      <c r="H64" s="91"/>
      <c r="I64" s="91"/>
      <c r="J64" s="91">
        <v>2</v>
      </c>
      <c r="K64" s="91"/>
      <c r="L64" s="91"/>
    </row>
    <row r="65" spans="1:12" ht="16.5">
      <c r="A65" s="76" t="s">
        <v>418</v>
      </c>
      <c r="B65" s="34" t="s">
        <v>372</v>
      </c>
      <c r="C65" s="54" t="s">
        <v>460</v>
      </c>
      <c r="D65" s="92" t="s">
        <v>66</v>
      </c>
      <c r="E65" t="s">
        <v>64</v>
      </c>
      <c r="F65" t="s">
        <v>65</v>
      </c>
      <c r="G65" s="3"/>
      <c r="H65" s="92"/>
      <c r="I65" s="92"/>
      <c r="J65" s="92">
        <v>4</v>
      </c>
      <c r="K65" s="54"/>
      <c r="L65" s="54" t="s">
        <v>373</v>
      </c>
    </row>
    <row r="66" spans="1:12" ht="16.5">
      <c r="A66" s="76" t="s">
        <v>418</v>
      </c>
      <c r="B66" s="34" t="s">
        <v>372</v>
      </c>
      <c r="C66" s="56" t="s">
        <v>461</v>
      </c>
      <c r="D66" s="92" t="s">
        <v>66</v>
      </c>
      <c r="E66" t="s">
        <v>64</v>
      </c>
      <c r="F66" t="s">
        <v>65</v>
      </c>
      <c r="G66" s="3"/>
      <c r="H66" s="91"/>
      <c r="I66" s="91"/>
      <c r="J66" s="91">
        <v>3</v>
      </c>
      <c r="K66" s="56"/>
      <c r="L66" s="56" t="s">
        <v>374</v>
      </c>
    </row>
    <row r="67" spans="1:12" ht="16.5">
      <c r="A67" s="76" t="s">
        <v>418</v>
      </c>
      <c r="B67" s="34" t="s">
        <v>372</v>
      </c>
      <c r="C67" s="54" t="s">
        <v>462</v>
      </c>
      <c r="D67" s="92" t="s">
        <v>66</v>
      </c>
      <c r="E67" t="s">
        <v>64</v>
      </c>
      <c r="F67" t="s">
        <v>65</v>
      </c>
      <c r="G67" s="3"/>
      <c r="H67" s="92"/>
      <c r="I67" s="92"/>
      <c r="J67" s="92">
        <v>2</v>
      </c>
      <c r="K67" s="54"/>
      <c r="L67" s="54" t="s">
        <v>375</v>
      </c>
    </row>
    <row r="68" spans="1:12" ht="16.5">
      <c r="A68" s="76" t="s">
        <v>418</v>
      </c>
      <c r="B68" s="34" t="s">
        <v>372</v>
      </c>
      <c r="C68" s="56" t="s">
        <v>92</v>
      </c>
      <c r="D68" s="3"/>
      <c r="E68" s="91" t="s">
        <v>64</v>
      </c>
      <c r="F68" s="91" t="s">
        <v>92</v>
      </c>
      <c r="G68" s="3"/>
      <c r="H68" s="91"/>
      <c r="I68" s="91"/>
      <c r="J68" s="91">
        <v>11</v>
      </c>
      <c r="K68" s="56"/>
      <c r="L68" s="56"/>
    </row>
    <row r="69" spans="1:12" ht="16.5">
      <c r="A69" s="76" t="s">
        <v>418</v>
      </c>
      <c r="B69" s="34" t="s">
        <v>372</v>
      </c>
      <c r="C69" s="54" t="s">
        <v>463</v>
      </c>
      <c r="D69" s="92" t="s">
        <v>72</v>
      </c>
      <c r="E69" t="s">
        <v>64</v>
      </c>
      <c r="F69" t="s">
        <v>71</v>
      </c>
      <c r="G69" s="3"/>
      <c r="H69" s="92"/>
      <c r="I69" s="92"/>
      <c r="J69" s="92">
        <v>3</v>
      </c>
      <c r="K69" s="54"/>
      <c r="L69" s="54" t="s">
        <v>376</v>
      </c>
    </row>
    <row r="70" spans="1:12" ht="16.5">
      <c r="A70" s="76" t="s">
        <v>418</v>
      </c>
      <c r="B70" s="34" t="s">
        <v>372</v>
      </c>
      <c r="C70" s="56" t="s">
        <v>464</v>
      </c>
      <c r="D70" s="92" t="s">
        <v>72</v>
      </c>
      <c r="E70" t="s">
        <v>64</v>
      </c>
      <c r="F70" t="s">
        <v>71</v>
      </c>
      <c r="G70" s="3"/>
      <c r="H70" s="91"/>
      <c r="I70" s="91"/>
      <c r="J70" s="91">
        <v>1</v>
      </c>
      <c r="K70" s="56"/>
      <c r="L70" s="56" t="s">
        <v>377</v>
      </c>
    </row>
    <row r="71" spans="1:12" ht="16.5">
      <c r="A71" s="76" t="s">
        <v>418</v>
      </c>
      <c r="B71" s="34" t="s">
        <v>372</v>
      </c>
      <c r="C71" s="54" t="s">
        <v>465</v>
      </c>
      <c r="D71" s="92" t="s">
        <v>72</v>
      </c>
      <c r="E71" t="s">
        <v>64</v>
      </c>
      <c r="F71" t="s">
        <v>71</v>
      </c>
      <c r="G71" s="3"/>
      <c r="H71" s="92"/>
      <c r="I71" s="92"/>
      <c r="J71" s="92">
        <v>1</v>
      </c>
      <c r="K71" s="54"/>
      <c r="L71" s="54" t="s">
        <v>378</v>
      </c>
    </row>
    <row r="72" spans="1:12" ht="16.5">
      <c r="A72" s="76" t="s">
        <v>418</v>
      </c>
      <c r="B72" s="34" t="s">
        <v>372</v>
      </c>
      <c r="C72" s="56" t="s">
        <v>456</v>
      </c>
      <c r="D72" s="92" t="s">
        <v>72</v>
      </c>
      <c r="E72" t="s">
        <v>64</v>
      </c>
      <c r="F72" t="s">
        <v>71</v>
      </c>
      <c r="G72" s="3"/>
      <c r="H72" s="91"/>
      <c r="I72" s="91"/>
      <c r="J72" s="91">
        <v>2</v>
      </c>
      <c r="K72" s="56"/>
      <c r="L72" s="56" t="s">
        <v>343</v>
      </c>
    </row>
    <row r="73" spans="1:12" ht="16.5">
      <c r="A73" s="76" t="s">
        <v>418</v>
      </c>
      <c r="B73" s="34" t="s">
        <v>372</v>
      </c>
      <c r="C73" s="54" t="s">
        <v>315</v>
      </c>
      <c r="D73" s="3"/>
      <c r="E73" s="3" t="s">
        <v>64</v>
      </c>
      <c r="F73" s="3" t="s">
        <v>201</v>
      </c>
      <c r="G73" s="3"/>
      <c r="H73" s="92"/>
      <c r="I73" s="92"/>
      <c r="J73" s="92">
        <v>48</v>
      </c>
      <c r="K73" s="54"/>
      <c r="L73" s="54" t="s">
        <v>395</v>
      </c>
    </row>
    <row r="74" spans="1:12" ht="16.5">
      <c r="A74" s="76" t="s">
        <v>418</v>
      </c>
      <c r="B74" s="34" t="s">
        <v>372</v>
      </c>
      <c r="C74" s="56" t="s">
        <v>315</v>
      </c>
      <c r="D74" s="3"/>
      <c r="E74" s="3" t="s">
        <v>64</v>
      </c>
      <c r="F74" s="3" t="s">
        <v>201</v>
      </c>
      <c r="G74" s="3"/>
      <c r="H74" s="91"/>
      <c r="I74" s="91"/>
      <c r="J74" s="91">
        <v>13</v>
      </c>
      <c r="K74" s="56"/>
      <c r="L74" s="56" t="s">
        <v>396</v>
      </c>
    </row>
    <row r="75" spans="1:12" ht="16.5">
      <c r="A75" s="76" t="s">
        <v>418</v>
      </c>
      <c r="B75" s="34" t="s">
        <v>372</v>
      </c>
      <c r="C75" s="54" t="s">
        <v>315</v>
      </c>
      <c r="D75" s="3"/>
      <c r="E75" s="3" t="s">
        <v>64</v>
      </c>
      <c r="F75" s="3" t="s">
        <v>201</v>
      </c>
      <c r="G75" s="3"/>
      <c r="H75" s="92"/>
      <c r="I75" s="92"/>
      <c r="J75" s="92">
        <v>6</v>
      </c>
      <c r="K75" s="54"/>
      <c r="L75" s="54" t="s">
        <v>397</v>
      </c>
    </row>
    <row r="76" spans="1:12" ht="16.5">
      <c r="A76" s="76" t="s">
        <v>418</v>
      </c>
      <c r="B76" s="34" t="s">
        <v>372</v>
      </c>
      <c r="C76" s="56" t="s">
        <v>315</v>
      </c>
      <c r="D76" s="3"/>
      <c r="E76" s="3" t="s">
        <v>64</v>
      </c>
      <c r="F76" s="3" t="s">
        <v>201</v>
      </c>
      <c r="G76" s="3"/>
      <c r="H76" s="91"/>
      <c r="I76" s="91"/>
      <c r="J76" s="91">
        <v>28</v>
      </c>
      <c r="K76" s="56"/>
      <c r="L76" s="56" t="s">
        <v>398</v>
      </c>
    </row>
    <row r="77" spans="1:12" ht="16.5">
      <c r="A77" s="76" t="s">
        <v>418</v>
      </c>
      <c r="B77" s="34" t="s">
        <v>372</v>
      </c>
      <c r="C77" s="54" t="s">
        <v>450</v>
      </c>
      <c r="D77" s="92" t="s">
        <v>66</v>
      </c>
      <c r="E77" s="3" t="s">
        <v>64</v>
      </c>
      <c r="F77" s="3" t="s">
        <v>65</v>
      </c>
      <c r="G77" s="3"/>
      <c r="H77" s="92"/>
      <c r="I77" s="92"/>
      <c r="J77" s="92">
        <v>5</v>
      </c>
      <c r="K77" s="54"/>
      <c r="L77" s="54" t="s">
        <v>400</v>
      </c>
    </row>
    <row r="78" spans="1:12" ht="16.5">
      <c r="A78" s="76" t="s">
        <v>418</v>
      </c>
      <c r="B78" s="34" t="s">
        <v>372</v>
      </c>
      <c r="C78" s="56" t="s">
        <v>466</v>
      </c>
      <c r="D78" s="92" t="s">
        <v>66</v>
      </c>
      <c r="E78" s="3" t="s">
        <v>64</v>
      </c>
      <c r="F78" s="3" t="s">
        <v>65</v>
      </c>
      <c r="G78" s="3"/>
      <c r="H78" s="91"/>
      <c r="I78" s="91"/>
      <c r="J78" s="91">
        <v>1</v>
      </c>
      <c r="K78" s="56"/>
      <c r="L78" s="56" t="s">
        <v>401</v>
      </c>
    </row>
    <row r="79" spans="1:12" ht="16.5">
      <c r="A79" s="76" t="s">
        <v>418</v>
      </c>
      <c r="B79" s="34" t="s">
        <v>372</v>
      </c>
      <c r="C79" s="54" t="s">
        <v>458</v>
      </c>
      <c r="D79" s="92" t="s">
        <v>66</v>
      </c>
      <c r="E79" s="3" t="s">
        <v>64</v>
      </c>
      <c r="F79" s="3" t="s">
        <v>65</v>
      </c>
      <c r="G79" s="3"/>
      <c r="H79" s="92"/>
      <c r="I79" s="92"/>
      <c r="J79" s="92">
        <v>1</v>
      </c>
      <c r="K79" s="54"/>
      <c r="L79" s="54" t="s">
        <v>402</v>
      </c>
    </row>
    <row r="80" spans="1:12" ht="16.5">
      <c r="A80" s="76" t="s">
        <v>418</v>
      </c>
      <c r="B80" s="34" t="s">
        <v>372</v>
      </c>
      <c r="C80" s="56" t="s">
        <v>451</v>
      </c>
      <c r="D80" s="92" t="s">
        <v>66</v>
      </c>
      <c r="E80" s="3" t="s">
        <v>64</v>
      </c>
      <c r="F80" s="3" t="s">
        <v>65</v>
      </c>
      <c r="G80" s="3"/>
      <c r="H80" s="91"/>
      <c r="I80" s="91"/>
      <c r="J80" s="91">
        <v>4</v>
      </c>
      <c r="K80" s="56"/>
      <c r="L80" s="56" t="s">
        <v>403</v>
      </c>
    </row>
    <row r="81" spans="1:12" ht="16.5">
      <c r="A81" s="76" t="s">
        <v>418</v>
      </c>
      <c r="B81" s="34" t="s">
        <v>372</v>
      </c>
      <c r="C81" s="54" t="s">
        <v>452</v>
      </c>
      <c r="D81" s="92" t="s">
        <v>66</v>
      </c>
      <c r="E81" s="3" t="s">
        <v>64</v>
      </c>
      <c r="F81" s="3" t="s">
        <v>65</v>
      </c>
      <c r="G81" s="3"/>
      <c r="H81" s="92"/>
      <c r="I81" s="92"/>
      <c r="J81" s="92">
        <v>10</v>
      </c>
      <c r="K81" s="54"/>
      <c r="L81" s="54" t="s">
        <v>404</v>
      </c>
    </row>
    <row r="82" spans="1:12" ht="16.5">
      <c r="A82" s="76" t="s">
        <v>418</v>
      </c>
      <c r="B82" s="34" t="s">
        <v>372</v>
      </c>
      <c r="C82" s="56" t="s">
        <v>450</v>
      </c>
      <c r="D82" s="92" t="s">
        <v>66</v>
      </c>
      <c r="E82" s="3" t="s">
        <v>64</v>
      </c>
      <c r="F82" s="3" t="s">
        <v>65</v>
      </c>
      <c r="G82" s="3"/>
      <c r="H82" s="91"/>
      <c r="I82" s="91"/>
      <c r="J82" s="91">
        <v>3</v>
      </c>
      <c r="K82" s="56"/>
      <c r="L82" s="56" t="s">
        <v>405</v>
      </c>
    </row>
    <row r="83" spans="1:12" ht="16.5">
      <c r="A83" s="76" t="s">
        <v>418</v>
      </c>
      <c r="B83" s="34" t="s">
        <v>406</v>
      </c>
      <c r="C83" s="56" t="s">
        <v>315</v>
      </c>
      <c r="D83" s="3"/>
      <c r="E83" s="3" t="s">
        <v>64</v>
      </c>
      <c r="F83" s="3" t="s">
        <v>201</v>
      </c>
      <c r="G83" s="3"/>
      <c r="H83" s="91"/>
      <c r="I83" s="91"/>
      <c r="J83" s="91">
        <v>4</v>
      </c>
      <c r="K83" s="56"/>
      <c r="L83" s="56" t="s">
        <v>411</v>
      </c>
    </row>
    <row r="84" spans="1:12" ht="16.5">
      <c r="A84" s="76" t="s">
        <v>418</v>
      </c>
      <c r="B84" s="34" t="s">
        <v>406</v>
      </c>
      <c r="C84" s="54" t="s">
        <v>315</v>
      </c>
      <c r="D84" s="3"/>
      <c r="E84" s="3" t="s">
        <v>64</v>
      </c>
      <c r="F84" s="3" t="s">
        <v>201</v>
      </c>
      <c r="G84" s="3"/>
      <c r="H84" s="92"/>
      <c r="I84" s="92"/>
      <c r="J84" s="92">
        <v>1</v>
      </c>
      <c r="K84" s="54"/>
      <c r="L84" s="54" t="s">
        <v>397</v>
      </c>
    </row>
    <row r="85" spans="1:12" ht="16.5">
      <c r="A85" s="76" t="s">
        <v>418</v>
      </c>
      <c r="B85" s="34" t="s">
        <v>406</v>
      </c>
      <c r="C85" s="56" t="s">
        <v>450</v>
      </c>
      <c r="D85" s="92" t="s">
        <v>66</v>
      </c>
      <c r="E85" s="3" t="s">
        <v>64</v>
      </c>
      <c r="F85" s="3" t="s">
        <v>65</v>
      </c>
      <c r="G85" s="3"/>
      <c r="H85" s="91"/>
      <c r="I85" s="91"/>
      <c r="J85" s="91">
        <v>3</v>
      </c>
      <c r="K85" s="56"/>
      <c r="L85" s="56" t="s">
        <v>416</v>
      </c>
    </row>
    <row r="86" spans="1:12" ht="16.5">
      <c r="A86" s="76" t="s">
        <v>418</v>
      </c>
      <c r="B86" s="71" t="s">
        <v>406</v>
      </c>
      <c r="C86" s="72" t="s">
        <v>457</v>
      </c>
      <c r="D86" s="93" t="s">
        <v>66</v>
      </c>
      <c r="E86" s="73" t="s">
        <v>64</v>
      </c>
      <c r="F86" s="73" t="s">
        <v>65</v>
      </c>
      <c r="G86" s="73"/>
      <c r="H86" s="93"/>
      <c r="I86" s="93"/>
      <c r="J86" s="93">
        <v>1</v>
      </c>
      <c r="K86" s="72"/>
      <c r="L86" s="72" t="s">
        <v>417</v>
      </c>
    </row>
    <row r="87" spans="1:12" s="3" customFormat="1">
      <c r="A87" s="76" t="s">
        <v>469</v>
      </c>
      <c r="B87" s="34" t="s">
        <v>467</v>
      </c>
      <c r="D87" s="74" t="s">
        <v>481</v>
      </c>
      <c r="F87" s="3" t="s">
        <v>550</v>
      </c>
      <c r="G87" s="3" t="s">
        <v>551</v>
      </c>
      <c r="I87" s="75">
        <v>42</v>
      </c>
      <c r="J87" s="13">
        <v>14</v>
      </c>
    </row>
    <row r="88" spans="1:12" s="3" customFormat="1">
      <c r="A88" s="76" t="s">
        <v>469</v>
      </c>
      <c r="B88" s="34" t="s">
        <v>467</v>
      </c>
      <c r="D88" s="74" t="s">
        <v>482</v>
      </c>
      <c r="F88" s="3" t="s">
        <v>550</v>
      </c>
      <c r="G88" s="3" t="s">
        <v>551</v>
      </c>
      <c r="I88" s="75">
        <v>2</v>
      </c>
      <c r="J88" s="13">
        <v>2</v>
      </c>
    </row>
    <row r="89" spans="1:12" s="3" customFormat="1">
      <c r="A89" s="76" t="s">
        <v>469</v>
      </c>
      <c r="B89" s="34" t="s">
        <v>467</v>
      </c>
      <c r="D89" s="74" t="s">
        <v>483</v>
      </c>
      <c r="F89" s="3" t="s">
        <v>92</v>
      </c>
      <c r="I89" s="75"/>
      <c r="J89" s="13">
        <v>2</v>
      </c>
    </row>
    <row r="90" spans="1:12" s="3" customFormat="1">
      <c r="A90" s="76" t="s">
        <v>469</v>
      </c>
      <c r="B90" s="34" t="s">
        <v>467</v>
      </c>
      <c r="D90" s="74" t="s">
        <v>483</v>
      </c>
      <c r="F90" s="3" t="s">
        <v>92</v>
      </c>
      <c r="I90" s="75">
        <v>175</v>
      </c>
      <c r="J90" s="13">
        <v>3</v>
      </c>
    </row>
    <row r="91" spans="1:12" s="3" customFormat="1">
      <c r="A91" s="76" t="s">
        <v>469</v>
      </c>
      <c r="B91" s="34" t="s">
        <v>468</v>
      </c>
      <c r="D91" s="74" t="s">
        <v>527</v>
      </c>
      <c r="F91" s="3" t="s">
        <v>92</v>
      </c>
      <c r="I91" s="75">
        <v>8</v>
      </c>
      <c r="J91" s="13">
        <v>2</v>
      </c>
    </row>
    <row r="92" spans="1:12" s="3" customFormat="1">
      <c r="A92" s="76" t="s">
        <v>469</v>
      </c>
      <c r="B92" s="34" t="s">
        <v>468</v>
      </c>
      <c r="D92" s="74" t="s">
        <v>528</v>
      </c>
      <c r="F92" s="3" t="s">
        <v>92</v>
      </c>
      <c r="I92" s="75">
        <v>64</v>
      </c>
      <c r="J92" s="13">
        <v>2</v>
      </c>
    </row>
    <row r="93" spans="1:12" s="3" customFormat="1">
      <c r="A93" s="76" t="s">
        <v>469</v>
      </c>
      <c r="B93" s="34" t="s">
        <v>468</v>
      </c>
      <c r="D93" s="74" t="s">
        <v>529</v>
      </c>
      <c r="F93" s="3" t="s">
        <v>200</v>
      </c>
      <c r="G93" s="3" t="s">
        <v>552</v>
      </c>
      <c r="I93" s="75">
        <v>6</v>
      </c>
      <c r="J93" s="13">
        <v>6</v>
      </c>
    </row>
    <row r="94" spans="1:12" s="3" customFormat="1">
      <c r="A94" s="76" t="s">
        <v>469</v>
      </c>
      <c r="B94" s="34" t="s">
        <v>468</v>
      </c>
      <c r="D94" s="74" t="s">
        <v>540</v>
      </c>
      <c r="I94" s="75">
        <v>72</v>
      </c>
      <c r="J94" s="13">
        <v>22</v>
      </c>
    </row>
    <row r="95" spans="1:12" s="3" customFormat="1">
      <c r="A95" s="76" t="s">
        <v>469</v>
      </c>
      <c r="B95" s="34" t="s">
        <v>468</v>
      </c>
      <c r="D95" s="74" t="s">
        <v>543</v>
      </c>
      <c r="I95" s="75"/>
      <c r="J95" s="13">
        <v>2</v>
      </c>
    </row>
    <row r="96" spans="1:12" s="19" customFormat="1">
      <c r="A96" s="13" t="s">
        <v>32</v>
      </c>
      <c r="B96" s="14" t="s">
        <v>20</v>
      </c>
      <c r="C96" s="20"/>
      <c r="D96" s="22" t="s">
        <v>23</v>
      </c>
      <c r="E96" s="16"/>
      <c r="F96" s="16"/>
      <c r="G96" s="16"/>
      <c r="H96" s="16"/>
      <c r="I96" s="14">
        <v>1045</v>
      </c>
      <c r="J96" s="14">
        <v>2</v>
      </c>
      <c r="K96" s="13"/>
      <c r="L96" s="13"/>
    </row>
    <row r="97" spans="1:12" s="19" customFormat="1">
      <c r="A97" s="13" t="s">
        <v>32</v>
      </c>
      <c r="B97" s="14" t="s">
        <v>20</v>
      </c>
      <c r="C97" s="20"/>
      <c r="D97" s="22" t="s">
        <v>24</v>
      </c>
      <c r="E97" s="16"/>
      <c r="F97" s="16"/>
      <c r="G97" s="16"/>
      <c r="H97" s="16"/>
      <c r="I97" s="14">
        <v>45</v>
      </c>
      <c r="J97" s="30"/>
      <c r="K97" s="13"/>
      <c r="L97" s="13"/>
    </row>
    <row r="98" spans="1:12" s="19" customFormat="1">
      <c r="A98" s="13" t="s">
        <v>32</v>
      </c>
      <c r="B98" s="14" t="s">
        <v>20</v>
      </c>
      <c r="C98" s="20"/>
      <c r="D98" s="22" t="s">
        <v>25</v>
      </c>
      <c r="E98" s="16"/>
      <c r="F98" s="16"/>
      <c r="G98" s="16"/>
      <c r="H98" s="16"/>
      <c r="I98" s="14">
        <v>40</v>
      </c>
      <c r="J98" s="14">
        <v>2</v>
      </c>
      <c r="K98" s="13"/>
      <c r="L98" s="13"/>
    </row>
    <row r="99" spans="1:12" s="19" customFormat="1">
      <c r="A99" s="13" t="s">
        <v>32</v>
      </c>
      <c r="B99" s="14" t="s">
        <v>20</v>
      </c>
      <c r="C99" s="20"/>
      <c r="D99" s="22" t="s">
        <v>26</v>
      </c>
      <c r="E99" s="16"/>
      <c r="F99" s="16"/>
      <c r="G99" s="16"/>
      <c r="H99" s="16"/>
      <c r="I99" s="14">
        <v>20</v>
      </c>
      <c r="J99" s="14"/>
      <c r="K99" s="13"/>
      <c r="L99" s="13"/>
    </row>
    <row r="100" spans="1:12" s="19" customFormat="1">
      <c r="A100" s="13" t="s">
        <v>32</v>
      </c>
      <c r="B100" s="14" t="s">
        <v>20</v>
      </c>
      <c r="C100" s="20"/>
      <c r="D100" s="22" t="s">
        <v>27</v>
      </c>
      <c r="E100" s="16"/>
      <c r="F100" s="16"/>
      <c r="G100" s="16"/>
      <c r="H100" s="16"/>
      <c r="I100" s="14">
        <v>570</v>
      </c>
      <c r="J100" s="14"/>
      <c r="K100" s="13"/>
      <c r="L100" s="13"/>
    </row>
    <row r="101" spans="1:12" s="29" customFormat="1">
      <c r="A101" s="25" t="s">
        <v>31</v>
      </c>
      <c r="B101" s="26" t="s">
        <v>35</v>
      </c>
      <c r="C101" s="27"/>
      <c r="D101" s="39" t="s">
        <v>38</v>
      </c>
      <c r="E101" s="28"/>
      <c r="F101" s="28"/>
      <c r="G101" s="28"/>
      <c r="H101" s="28"/>
      <c r="I101" s="33">
        <v>150</v>
      </c>
      <c r="J101" s="26">
        <v>1</v>
      </c>
      <c r="K101" s="25"/>
      <c r="L101" s="25"/>
    </row>
    <row r="102" spans="1:12" s="29" customFormat="1">
      <c r="A102" s="25" t="s">
        <v>31</v>
      </c>
      <c r="B102" s="26" t="s">
        <v>35</v>
      </c>
      <c r="C102" s="27"/>
      <c r="D102" s="39" t="s">
        <v>39</v>
      </c>
      <c r="E102" s="28"/>
      <c r="F102" s="28"/>
      <c r="G102" s="28"/>
      <c r="H102" s="28"/>
      <c r="I102" s="33">
        <v>150</v>
      </c>
      <c r="J102" s="26">
        <v>2</v>
      </c>
      <c r="K102" s="25"/>
      <c r="L102" s="25"/>
    </row>
    <row r="103" spans="1:12">
      <c r="A103" s="17" t="s">
        <v>31</v>
      </c>
      <c r="B103" s="34" t="s">
        <v>41</v>
      </c>
      <c r="C103" s="4"/>
      <c r="D103" s="41" t="s">
        <v>48</v>
      </c>
      <c r="E103" s="5"/>
      <c r="F103" s="5"/>
      <c r="G103" s="5"/>
      <c r="H103" s="5"/>
      <c r="I103" s="12">
        <v>290</v>
      </c>
      <c r="J103" s="12">
        <v>6</v>
      </c>
      <c r="K103" s="3"/>
      <c r="L103" s="3"/>
    </row>
    <row r="104" spans="1:12">
      <c r="A104" s="17" t="s">
        <v>31</v>
      </c>
      <c r="B104" s="34" t="s">
        <v>41</v>
      </c>
      <c r="C104" s="4"/>
      <c r="D104" s="41" t="s">
        <v>39</v>
      </c>
      <c r="E104" s="5"/>
      <c r="F104" s="5"/>
      <c r="G104" s="5"/>
      <c r="H104" s="5"/>
      <c r="I104" s="12">
        <v>915</v>
      </c>
      <c r="J104" s="12">
        <v>8</v>
      </c>
      <c r="K104" s="3"/>
      <c r="L104" s="3"/>
    </row>
    <row r="105" spans="1:12">
      <c r="A105" s="17" t="s">
        <v>31</v>
      </c>
      <c r="B105" s="34" t="s">
        <v>41</v>
      </c>
      <c r="C105" s="4"/>
      <c r="D105" s="41" t="s">
        <v>38</v>
      </c>
      <c r="E105" s="5"/>
      <c r="F105" s="5"/>
      <c r="G105" s="5"/>
      <c r="H105" s="5"/>
      <c r="I105" s="12">
        <v>40</v>
      </c>
      <c r="J105" s="12"/>
      <c r="K105" s="3"/>
      <c r="L105" s="3"/>
    </row>
    <row r="106" spans="1:12">
      <c r="A106" s="17" t="s">
        <v>31</v>
      </c>
      <c r="B106" s="34" t="s">
        <v>41</v>
      </c>
      <c r="C106" s="4"/>
      <c r="D106" s="41" t="s">
        <v>50</v>
      </c>
      <c r="E106" s="5"/>
      <c r="F106" s="5"/>
      <c r="G106" s="5"/>
      <c r="H106" s="5"/>
      <c r="I106" s="12">
        <v>1400</v>
      </c>
      <c r="J106" s="12"/>
      <c r="K106" s="3"/>
      <c r="L106" s="3"/>
    </row>
    <row r="107" spans="1:12" s="50" customFormat="1">
      <c r="A107" s="43" t="s">
        <v>31</v>
      </c>
      <c r="B107" s="45" t="s">
        <v>51</v>
      </c>
      <c r="C107" s="46"/>
      <c r="D107" s="47" t="s">
        <v>39</v>
      </c>
      <c r="E107" s="48"/>
      <c r="F107" s="48"/>
      <c r="G107" s="48"/>
      <c r="H107" s="48"/>
      <c r="I107" s="49">
        <v>100</v>
      </c>
      <c r="J107" s="49">
        <v>4</v>
      </c>
      <c r="K107" s="44"/>
      <c r="L107" s="44"/>
    </row>
    <row r="108" spans="1:12" s="50" customFormat="1">
      <c r="A108" s="43" t="s">
        <v>31</v>
      </c>
      <c r="B108" s="45" t="s">
        <v>51</v>
      </c>
      <c r="C108" s="46"/>
      <c r="D108" s="47" t="s">
        <v>38</v>
      </c>
      <c r="E108" s="48"/>
      <c r="F108" s="48"/>
      <c r="G108" s="48"/>
      <c r="H108" s="48"/>
      <c r="I108" s="51"/>
      <c r="J108" s="49">
        <v>1</v>
      </c>
      <c r="K108" s="44"/>
      <c r="L108" s="44"/>
    </row>
    <row r="109" spans="1:12" s="50" customFormat="1">
      <c r="A109" s="43" t="s">
        <v>31</v>
      </c>
      <c r="B109" s="45" t="s">
        <v>51</v>
      </c>
      <c r="C109" s="46"/>
      <c r="D109" s="47" t="s">
        <v>52</v>
      </c>
      <c r="E109" s="48"/>
      <c r="F109" s="48"/>
      <c r="G109" s="48"/>
      <c r="H109" s="48"/>
      <c r="I109" s="49">
        <v>55</v>
      </c>
      <c r="J109" s="49">
        <v>4</v>
      </c>
      <c r="K109" s="44"/>
      <c r="L109" s="44"/>
    </row>
    <row r="110" spans="1:12" s="50" customFormat="1">
      <c r="A110" s="43" t="s">
        <v>31</v>
      </c>
      <c r="B110" s="45" t="s">
        <v>51</v>
      </c>
      <c r="C110" s="46"/>
      <c r="D110" s="47" t="s">
        <v>50</v>
      </c>
      <c r="E110" s="48"/>
      <c r="F110" s="48"/>
      <c r="G110" s="48"/>
      <c r="H110" s="48"/>
      <c r="I110" s="49">
        <v>55</v>
      </c>
      <c r="J110" s="49">
        <v>5</v>
      </c>
      <c r="K110" s="44"/>
      <c r="L110" s="44"/>
    </row>
    <row r="111" spans="1:12">
      <c r="A111" s="3" t="s">
        <v>744</v>
      </c>
      <c r="B111" s="3" t="s">
        <v>606</v>
      </c>
      <c r="C111" s="3"/>
      <c r="D111" s="3" t="s">
        <v>645</v>
      </c>
      <c r="E111" s="3"/>
      <c r="F111" s="3"/>
      <c r="G111" s="3"/>
      <c r="H111" s="3"/>
      <c r="I111" s="199">
        <v>30</v>
      </c>
      <c r="J111" s="3">
        <v>1</v>
      </c>
      <c r="K111" s="3"/>
      <c r="L111" s="3"/>
    </row>
    <row r="112" spans="1:12">
      <c r="A112" s="3" t="s">
        <v>744</v>
      </c>
      <c r="B112" s="3" t="s">
        <v>606</v>
      </c>
      <c r="C112" s="3"/>
      <c r="D112" s="3" t="s">
        <v>640</v>
      </c>
      <c r="E112" s="3"/>
      <c r="F112" s="3"/>
      <c r="G112" s="3"/>
      <c r="H112" s="3"/>
      <c r="I112" s="199"/>
      <c r="J112" s="3">
        <v>1</v>
      </c>
      <c r="K112" s="3"/>
      <c r="L112" s="3"/>
    </row>
    <row r="113" spans="1:12">
      <c r="A113" s="3" t="s">
        <v>744</v>
      </c>
      <c r="B113" s="3" t="s">
        <v>608</v>
      </c>
      <c r="C113" s="3"/>
      <c r="D113" s="3" t="s">
        <v>645</v>
      </c>
      <c r="E113" s="3"/>
      <c r="F113" s="3"/>
      <c r="G113" s="3"/>
      <c r="H113" s="3"/>
      <c r="I113" s="3"/>
      <c r="J113" s="3">
        <v>1</v>
      </c>
      <c r="K113" s="3"/>
      <c r="L113" s="3"/>
    </row>
    <row r="114" spans="1:12">
      <c r="A114" s="3" t="s">
        <v>744</v>
      </c>
      <c r="B114" s="3" t="s">
        <v>608</v>
      </c>
      <c r="C114" s="3"/>
      <c r="D114" s="3" t="s">
        <v>646</v>
      </c>
      <c r="E114" s="3"/>
      <c r="F114" s="3"/>
      <c r="G114" s="3"/>
      <c r="H114" s="3"/>
      <c r="I114" s="3"/>
      <c r="J114" s="3">
        <v>2</v>
      </c>
      <c r="K114" s="3"/>
      <c r="L114" s="3"/>
    </row>
    <row r="115" spans="1:12">
      <c r="A115" s="3" t="s">
        <v>744</v>
      </c>
      <c r="B115" s="3" t="s">
        <v>608</v>
      </c>
      <c r="C115" s="3"/>
      <c r="D115" s="3" t="s">
        <v>772</v>
      </c>
      <c r="E115" s="3"/>
      <c r="F115" s="3"/>
      <c r="G115" s="3"/>
      <c r="H115" s="3"/>
      <c r="I115" s="3">
        <v>450</v>
      </c>
      <c r="J115" s="3">
        <v>6</v>
      </c>
      <c r="K115" s="3"/>
      <c r="L115" s="3"/>
    </row>
    <row r="116" spans="1:12">
      <c r="A116" s="3" t="s">
        <v>744</v>
      </c>
      <c r="B116" s="3" t="s">
        <v>608</v>
      </c>
      <c r="C116" s="3"/>
      <c r="D116" s="3" t="s">
        <v>638</v>
      </c>
      <c r="E116" s="3"/>
      <c r="F116" s="3"/>
      <c r="G116" s="3"/>
      <c r="H116" s="3"/>
      <c r="I116" s="3">
        <v>210</v>
      </c>
      <c r="J116" s="3">
        <v>3</v>
      </c>
      <c r="K116" s="3"/>
      <c r="L116" s="3"/>
    </row>
    <row r="117" spans="1:12">
      <c r="A117" s="3" t="s">
        <v>744</v>
      </c>
      <c r="B117" s="3" t="s">
        <v>608</v>
      </c>
      <c r="C117" s="3"/>
      <c r="D117" s="3" t="s">
        <v>640</v>
      </c>
      <c r="E117" s="3"/>
      <c r="F117" s="3"/>
      <c r="G117" s="3"/>
      <c r="H117" s="3"/>
      <c r="I117" s="3">
        <v>50</v>
      </c>
      <c r="J117" s="3">
        <v>114</v>
      </c>
      <c r="K117" s="3"/>
      <c r="L117" s="3"/>
    </row>
    <row r="118" spans="1:12">
      <c r="A118" s="3" t="s">
        <v>744</v>
      </c>
      <c r="B118" s="3" t="s">
        <v>608</v>
      </c>
      <c r="C118" s="3"/>
      <c r="D118" s="3" t="s">
        <v>648</v>
      </c>
      <c r="E118" s="3"/>
      <c r="F118" s="3"/>
      <c r="G118" s="3"/>
      <c r="H118" s="3"/>
      <c r="I118" s="3" t="s">
        <v>647</v>
      </c>
      <c r="J118" s="3">
        <v>8</v>
      </c>
      <c r="K118" s="3"/>
      <c r="L118" s="3"/>
    </row>
    <row r="119" spans="1:12">
      <c r="A119" s="3" t="s">
        <v>745</v>
      </c>
      <c r="B119" s="3" t="s">
        <v>649</v>
      </c>
      <c r="C119" s="3"/>
      <c r="D119" s="3" t="s">
        <v>640</v>
      </c>
      <c r="E119" s="3"/>
      <c r="F119" s="3"/>
      <c r="G119" s="3"/>
      <c r="H119" s="3"/>
      <c r="I119" s="3" t="s">
        <v>647</v>
      </c>
      <c r="J119" s="3">
        <v>3</v>
      </c>
      <c r="K119" s="3"/>
      <c r="L119" s="3"/>
    </row>
    <row r="120" spans="1:12">
      <c r="A120" s="3" t="s">
        <v>745</v>
      </c>
      <c r="B120" s="3" t="s">
        <v>614</v>
      </c>
      <c r="C120" s="3"/>
      <c r="D120" s="3" t="s">
        <v>639</v>
      </c>
      <c r="E120" s="3"/>
      <c r="F120" s="3"/>
      <c r="G120" s="3"/>
      <c r="H120" s="3"/>
      <c r="I120" s="3" t="s">
        <v>650</v>
      </c>
      <c r="J120" s="3">
        <v>5</v>
      </c>
      <c r="K120" s="3"/>
      <c r="L120" s="3"/>
    </row>
    <row r="121" spans="1:12">
      <c r="A121" s="3" t="s">
        <v>745</v>
      </c>
      <c r="B121" s="3" t="s">
        <v>614</v>
      </c>
      <c r="C121" s="3"/>
      <c r="D121" s="3" t="s">
        <v>651</v>
      </c>
      <c r="E121" s="3"/>
      <c r="F121" s="3"/>
      <c r="G121" s="3"/>
      <c r="H121" s="3"/>
      <c r="I121" s="3" t="s">
        <v>652</v>
      </c>
      <c r="J121" s="3">
        <v>19</v>
      </c>
      <c r="K121" s="3"/>
      <c r="L121" s="3"/>
    </row>
    <row r="122" spans="1:12">
      <c r="A122" s="3" t="s">
        <v>745</v>
      </c>
      <c r="B122" s="3" t="s">
        <v>614</v>
      </c>
      <c r="C122" s="3"/>
      <c r="D122" s="3" t="s">
        <v>773</v>
      </c>
      <c r="E122" s="3"/>
      <c r="F122" s="3"/>
      <c r="G122" s="3"/>
      <c r="H122" s="3"/>
      <c r="I122" s="3">
        <v>285</v>
      </c>
      <c r="J122" s="3">
        <v>7</v>
      </c>
      <c r="K122" s="3"/>
      <c r="L122" s="3"/>
    </row>
    <row r="123" spans="1:12">
      <c r="A123" s="3" t="s">
        <v>745</v>
      </c>
      <c r="B123" s="3" t="s">
        <v>614</v>
      </c>
      <c r="C123" s="3"/>
      <c r="D123" s="3" t="s">
        <v>645</v>
      </c>
      <c r="E123" s="3"/>
      <c r="F123" s="3"/>
      <c r="G123" s="3"/>
      <c r="H123" s="3"/>
      <c r="I123" s="3">
        <v>250</v>
      </c>
      <c r="J123" s="3">
        <v>27</v>
      </c>
      <c r="K123" s="3"/>
      <c r="L123" s="3"/>
    </row>
    <row r="124" spans="1:12">
      <c r="A124" s="3" t="s">
        <v>745</v>
      </c>
      <c r="B124" s="3" t="s">
        <v>614</v>
      </c>
      <c r="C124" s="3"/>
      <c r="D124" s="3" t="s">
        <v>640</v>
      </c>
      <c r="E124" s="3"/>
      <c r="F124" s="3"/>
      <c r="G124" s="3"/>
      <c r="H124" s="3"/>
      <c r="I124" s="3">
        <v>165</v>
      </c>
      <c r="J124" s="3">
        <v>241</v>
      </c>
      <c r="K124" s="3"/>
      <c r="L124" s="3"/>
    </row>
    <row r="125" spans="1:12">
      <c r="A125" s="3" t="s">
        <v>745</v>
      </c>
      <c r="B125" s="3" t="s">
        <v>623</v>
      </c>
      <c r="C125" s="3"/>
      <c r="D125" s="3" t="s">
        <v>640</v>
      </c>
      <c r="E125" s="3"/>
      <c r="F125" s="3"/>
      <c r="G125" s="3"/>
      <c r="H125" s="3"/>
      <c r="I125" s="3"/>
      <c r="J125" s="3">
        <v>1</v>
      </c>
      <c r="K125" s="3"/>
      <c r="L125" s="3"/>
    </row>
    <row r="126" spans="1:12">
      <c r="A126" s="3" t="s">
        <v>745</v>
      </c>
      <c r="B126" s="3" t="s">
        <v>577</v>
      </c>
      <c r="C126" s="20"/>
      <c r="D126" s="23" t="s">
        <v>778</v>
      </c>
      <c r="E126" s="16"/>
      <c r="F126" s="16"/>
      <c r="G126" s="16"/>
      <c r="H126" s="16"/>
      <c r="I126" s="14"/>
      <c r="J126" s="16">
        <v>2</v>
      </c>
      <c r="K126" s="3"/>
      <c r="L126" s="3"/>
    </row>
    <row r="127" spans="1:12">
      <c r="A127" s="3" t="s">
        <v>745</v>
      </c>
      <c r="B127" s="3" t="s">
        <v>625</v>
      </c>
      <c r="C127" s="3"/>
      <c r="D127" s="3" t="s">
        <v>648</v>
      </c>
      <c r="E127" s="3"/>
      <c r="F127" s="3"/>
      <c r="G127" s="3"/>
      <c r="H127" s="3"/>
      <c r="I127" s="3"/>
      <c r="J127" s="3">
        <v>2</v>
      </c>
      <c r="K127" s="3"/>
      <c r="L127" s="3"/>
    </row>
    <row r="128" spans="1:12">
      <c r="A128" s="3" t="s">
        <v>745</v>
      </c>
      <c r="B128" s="3" t="s">
        <v>625</v>
      </c>
      <c r="C128" s="3"/>
      <c r="D128" s="3" t="s">
        <v>645</v>
      </c>
      <c r="E128" s="3"/>
      <c r="F128" s="3"/>
      <c r="G128" s="3"/>
      <c r="H128" s="3"/>
      <c r="I128" s="3" t="s">
        <v>619</v>
      </c>
      <c r="J128" s="3">
        <v>7</v>
      </c>
      <c r="K128" s="3"/>
      <c r="L128" s="3"/>
    </row>
    <row r="129" spans="1:12">
      <c r="A129" s="3" t="s">
        <v>745</v>
      </c>
      <c r="B129" s="3" t="s">
        <v>625</v>
      </c>
      <c r="C129" s="3"/>
      <c r="D129" s="3" t="s">
        <v>640</v>
      </c>
      <c r="E129" s="3"/>
      <c r="F129" s="3"/>
      <c r="G129" s="3"/>
      <c r="H129" s="3"/>
      <c r="I129" s="3">
        <v>15</v>
      </c>
      <c r="J129" s="3">
        <v>16</v>
      </c>
      <c r="K129" s="3"/>
      <c r="L129" s="3"/>
    </row>
    <row r="130" spans="1:12">
      <c r="A130" s="3" t="s">
        <v>745</v>
      </c>
      <c r="B130" s="3" t="s">
        <v>625</v>
      </c>
      <c r="C130" s="3"/>
      <c r="D130" s="3" t="s">
        <v>654</v>
      </c>
      <c r="E130" s="3"/>
      <c r="F130" s="3"/>
      <c r="G130" s="3"/>
      <c r="H130" s="3"/>
      <c r="I130" s="3" t="s">
        <v>653</v>
      </c>
      <c r="J130" s="3">
        <v>1</v>
      </c>
      <c r="K130" s="3"/>
      <c r="L130" s="3"/>
    </row>
    <row r="131" spans="1:12">
      <c r="A131" s="3" t="s">
        <v>745</v>
      </c>
      <c r="B131" s="3" t="s">
        <v>600</v>
      </c>
      <c r="C131" s="3"/>
      <c r="D131" s="3" t="s">
        <v>601</v>
      </c>
      <c r="E131" s="3"/>
      <c r="F131" s="3"/>
      <c r="G131" s="3"/>
      <c r="H131" s="3"/>
      <c r="I131" s="3">
        <v>1000</v>
      </c>
      <c r="J131" s="3">
        <v>289</v>
      </c>
      <c r="K131" s="3"/>
      <c r="L131" s="3"/>
    </row>
    <row r="132" spans="1:12">
      <c r="A132" s="3" t="s">
        <v>745</v>
      </c>
      <c r="B132" s="3" t="s">
        <v>600</v>
      </c>
      <c r="C132" s="3"/>
      <c r="D132" s="3" t="s">
        <v>602</v>
      </c>
      <c r="E132" s="3"/>
      <c r="F132" s="3"/>
      <c r="G132" s="3"/>
      <c r="H132" s="3"/>
      <c r="I132" s="3">
        <v>90</v>
      </c>
      <c r="J132" s="3">
        <v>74</v>
      </c>
      <c r="K132" s="3"/>
      <c r="L132" s="3"/>
    </row>
    <row r="133" spans="1:12">
      <c r="A133" s="3" t="s">
        <v>745</v>
      </c>
      <c r="B133" s="3" t="s">
        <v>600</v>
      </c>
      <c r="C133" s="3"/>
      <c r="D133" s="3" t="s">
        <v>603</v>
      </c>
      <c r="E133" s="3"/>
      <c r="F133" s="3"/>
      <c r="G133" s="3"/>
      <c r="H133" s="3"/>
      <c r="I133" s="3">
        <v>20</v>
      </c>
      <c r="J133" s="3">
        <v>15</v>
      </c>
      <c r="K133" s="3"/>
      <c r="L133" s="3"/>
    </row>
    <row r="134" spans="1:12">
      <c r="A134" s="3" t="s">
        <v>745</v>
      </c>
      <c r="B134" s="3" t="s">
        <v>581</v>
      </c>
      <c r="C134" s="3"/>
      <c r="D134" s="3" t="s">
        <v>638</v>
      </c>
      <c r="E134" s="3"/>
      <c r="F134" s="3"/>
      <c r="G134" s="3"/>
      <c r="H134" s="3"/>
      <c r="I134" s="3">
        <v>180</v>
      </c>
      <c r="J134" s="3">
        <v>10</v>
      </c>
      <c r="K134" s="3"/>
      <c r="L134" s="3"/>
    </row>
    <row r="135" spans="1:12">
      <c r="A135" s="3" t="s">
        <v>745</v>
      </c>
      <c r="B135" s="3" t="s">
        <v>581</v>
      </c>
      <c r="C135" s="3"/>
      <c r="D135" s="3" t="s">
        <v>639</v>
      </c>
      <c r="E135" s="3"/>
      <c r="F135" s="3"/>
      <c r="G135" s="3"/>
      <c r="H135" s="3"/>
      <c r="I135" s="3">
        <v>185</v>
      </c>
      <c r="J135" s="3">
        <v>6</v>
      </c>
      <c r="K135" s="3"/>
      <c r="L135" s="3"/>
    </row>
    <row r="136" spans="1:12">
      <c r="A136" s="3" t="s">
        <v>745</v>
      </c>
      <c r="B136" s="3" t="s">
        <v>581</v>
      </c>
      <c r="C136" s="3"/>
      <c r="D136" s="3" t="s">
        <v>640</v>
      </c>
      <c r="E136" s="3"/>
      <c r="F136" s="3"/>
      <c r="G136" s="3"/>
      <c r="H136" s="3"/>
      <c r="I136" s="3">
        <v>40</v>
      </c>
      <c r="J136" s="3">
        <v>62</v>
      </c>
      <c r="K136" s="3"/>
      <c r="L136" s="3"/>
    </row>
  </sheetData>
  <mergeCells count="9">
    <mergeCell ref="H9:H10"/>
    <mergeCell ref="I9:I10"/>
    <mergeCell ref="H12:H13"/>
    <mergeCell ref="I12:I13"/>
    <mergeCell ref="H16:H20"/>
    <mergeCell ref="I16:I20"/>
    <mergeCell ref="H21:H27"/>
    <mergeCell ref="I21:I27"/>
    <mergeCell ref="I111:I11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D17" sqref="D17"/>
    </sheetView>
  </sheetViews>
  <sheetFormatPr defaultRowHeight="15.75"/>
  <cols>
    <col min="3" max="3" width="13.7109375" bestFit="1" customWidth="1"/>
    <col min="4" max="4" width="24.7109375" bestFit="1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9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ht="16.5">
      <c r="A2" s="76" t="s">
        <v>418</v>
      </c>
      <c r="B2" s="34" t="s">
        <v>229</v>
      </c>
      <c r="C2" s="56" t="s">
        <v>230</v>
      </c>
      <c r="D2" s="3"/>
      <c r="E2" s="2" t="s">
        <v>230</v>
      </c>
      <c r="F2" s="2" t="s">
        <v>231</v>
      </c>
      <c r="G2" s="3"/>
      <c r="H2" s="91"/>
      <c r="I2" s="91">
        <v>48640</v>
      </c>
      <c r="J2" s="91"/>
      <c r="K2" s="91"/>
      <c r="L2" s="91"/>
    </row>
    <row r="3" spans="1:12" ht="16.5">
      <c r="A3" s="76" t="s">
        <v>418</v>
      </c>
      <c r="B3" s="34" t="s">
        <v>255</v>
      </c>
      <c r="C3" s="56" t="s">
        <v>230</v>
      </c>
      <c r="D3" s="3"/>
      <c r="E3" s="3" t="s">
        <v>230</v>
      </c>
      <c r="F3" s="3" t="s">
        <v>231</v>
      </c>
      <c r="G3" s="3"/>
      <c r="H3" s="91"/>
      <c r="I3" s="91">
        <v>38200</v>
      </c>
      <c r="J3" s="91"/>
      <c r="K3" s="91"/>
      <c r="L3" s="91"/>
    </row>
    <row r="4" spans="1:12" ht="16.5">
      <c r="A4" s="76" t="s">
        <v>418</v>
      </c>
      <c r="B4" s="34" t="s">
        <v>291</v>
      </c>
      <c r="C4" s="56" t="s">
        <v>293</v>
      </c>
      <c r="D4" s="3"/>
      <c r="E4" s="3" t="s">
        <v>230</v>
      </c>
      <c r="F4" s="3" t="s">
        <v>294</v>
      </c>
      <c r="G4" s="3" t="s">
        <v>295</v>
      </c>
      <c r="H4" s="91"/>
      <c r="I4" s="91">
        <v>9500</v>
      </c>
      <c r="J4" s="91"/>
      <c r="K4" s="91"/>
      <c r="L4" s="91"/>
    </row>
    <row r="5" spans="1:12" ht="16.5">
      <c r="A5" s="76" t="s">
        <v>418</v>
      </c>
      <c r="B5" s="34" t="s">
        <v>304</v>
      </c>
      <c r="C5" s="56" t="s">
        <v>323</v>
      </c>
      <c r="D5" s="3"/>
      <c r="E5" s="3" t="s">
        <v>230</v>
      </c>
      <c r="F5" s="3" t="s">
        <v>324</v>
      </c>
      <c r="G5" s="3" t="s">
        <v>325</v>
      </c>
      <c r="H5" s="91"/>
      <c r="I5" s="91"/>
      <c r="J5" s="91">
        <v>1</v>
      </c>
      <c r="K5" s="56"/>
      <c r="L5" s="56" t="s">
        <v>326</v>
      </c>
    </row>
    <row r="6" spans="1:12" ht="16.5">
      <c r="A6" s="76" t="s">
        <v>418</v>
      </c>
      <c r="B6" s="34" t="s">
        <v>304</v>
      </c>
      <c r="C6" s="54" t="s">
        <v>327</v>
      </c>
      <c r="D6" s="3"/>
      <c r="E6" s="3" t="s">
        <v>230</v>
      </c>
      <c r="F6" s="3" t="s">
        <v>231</v>
      </c>
      <c r="G6" s="3"/>
      <c r="H6" s="92"/>
      <c r="I6" s="92"/>
      <c r="J6" s="92">
        <v>3</v>
      </c>
      <c r="K6" s="54"/>
      <c r="L6" s="54" t="s">
        <v>328</v>
      </c>
    </row>
    <row r="7" spans="1:12" ht="16.5">
      <c r="A7" s="76" t="s">
        <v>418</v>
      </c>
      <c r="B7" s="34" t="s">
        <v>304</v>
      </c>
      <c r="C7" s="56" t="s">
        <v>327</v>
      </c>
      <c r="D7" s="3"/>
      <c r="E7" s="3" t="s">
        <v>230</v>
      </c>
      <c r="F7" s="3" t="s">
        <v>231</v>
      </c>
      <c r="G7" s="3"/>
      <c r="H7" s="91"/>
      <c r="I7" s="91"/>
      <c r="J7" s="91">
        <v>1</v>
      </c>
      <c r="K7" s="56"/>
      <c r="L7" s="56" t="s">
        <v>329</v>
      </c>
    </row>
    <row r="8" spans="1:12" ht="16.5">
      <c r="A8" s="76" t="s">
        <v>418</v>
      </c>
      <c r="B8" s="34" t="s">
        <v>332</v>
      </c>
      <c r="C8" s="56" t="s">
        <v>323</v>
      </c>
      <c r="D8" s="3"/>
      <c r="E8" s="3" t="s">
        <v>230</v>
      </c>
      <c r="F8" s="3" t="s">
        <v>324</v>
      </c>
      <c r="G8" s="3" t="s">
        <v>325</v>
      </c>
      <c r="H8" s="91"/>
      <c r="I8" s="91"/>
      <c r="J8" s="91">
        <v>1</v>
      </c>
      <c r="K8" s="91"/>
      <c r="L8" s="91" t="s">
        <v>344</v>
      </c>
    </row>
    <row r="9" spans="1:12" s="3" customFormat="1">
      <c r="A9" s="76" t="s">
        <v>469</v>
      </c>
      <c r="B9" s="34" t="s">
        <v>467</v>
      </c>
      <c r="D9" s="74" t="s">
        <v>480</v>
      </c>
      <c r="F9" s="3" t="s">
        <v>549</v>
      </c>
      <c r="I9" s="75">
        <v>2300</v>
      </c>
      <c r="J9" s="13"/>
    </row>
    <row r="10" spans="1:12" s="3" customFormat="1">
      <c r="A10" s="76" t="s">
        <v>469</v>
      </c>
      <c r="B10" s="34" t="s">
        <v>468</v>
      </c>
      <c r="D10" s="74" t="s">
        <v>522</v>
      </c>
      <c r="F10" s="3" t="s">
        <v>559</v>
      </c>
      <c r="I10" s="75">
        <v>768</v>
      </c>
      <c r="J10" s="13"/>
    </row>
    <row r="11" spans="1:12" s="19" customFormat="1" ht="16.5">
      <c r="A11" s="13" t="s">
        <v>32</v>
      </c>
      <c r="B11" s="14" t="s">
        <v>20</v>
      </c>
      <c r="D11" s="22" t="s">
        <v>21</v>
      </c>
      <c r="E11" s="15"/>
      <c r="F11" s="15"/>
      <c r="G11" s="16"/>
      <c r="H11" s="16"/>
      <c r="I11" s="12">
        <v>6965</v>
      </c>
      <c r="J11" s="14"/>
      <c r="K11" s="17"/>
      <c r="L11" s="18"/>
    </row>
    <row r="12" spans="1:12" s="37" customFormat="1">
      <c r="A12" s="17" t="s">
        <v>31</v>
      </c>
      <c r="B12" s="34" t="s">
        <v>42</v>
      </c>
      <c r="C12" s="35"/>
      <c r="D12" s="40" t="s">
        <v>43</v>
      </c>
      <c r="E12" s="36"/>
      <c r="F12" s="36"/>
      <c r="G12" s="36"/>
      <c r="H12" s="36"/>
      <c r="I12" s="34">
        <f>5460+3965+3385+3035-4*825</f>
        <v>12545</v>
      </c>
      <c r="J12" s="34"/>
      <c r="K12" s="17"/>
      <c r="L12" s="17"/>
    </row>
    <row r="13" spans="1:12" s="50" customFormat="1">
      <c r="A13" s="43" t="s">
        <v>31</v>
      </c>
      <c r="B13" s="45" t="s">
        <v>51</v>
      </c>
      <c r="C13" s="46"/>
      <c r="D13" s="47" t="s">
        <v>43</v>
      </c>
      <c r="E13" s="48"/>
      <c r="F13" s="48"/>
      <c r="G13" s="48"/>
      <c r="H13" s="48"/>
      <c r="I13" s="51"/>
      <c r="J13" s="49">
        <v>1</v>
      </c>
      <c r="K13" s="44"/>
      <c r="L13" s="44"/>
    </row>
    <row r="14" spans="1:12" s="19" customFormat="1" ht="16.5">
      <c r="A14" s="3" t="s">
        <v>745</v>
      </c>
      <c r="B14" s="14" t="s">
        <v>582</v>
      </c>
      <c r="C14" s="23" t="s">
        <v>774</v>
      </c>
      <c r="D14" s="23" t="s">
        <v>583</v>
      </c>
      <c r="E14" s="15"/>
      <c r="F14" s="15"/>
      <c r="G14" s="16"/>
      <c r="H14" s="16"/>
      <c r="I14" s="14">
        <v>4825</v>
      </c>
      <c r="J14" s="16"/>
      <c r="K14" s="17"/>
      <c r="L14" s="18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zoomScaleNormal="100" workbookViewId="0">
      <selection activeCell="D16" sqref="D16"/>
    </sheetView>
  </sheetViews>
  <sheetFormatPr defaultRowHeight="15.75"/>
  <cols>
    <col min="2" max="2" width="12.140625" style="19" customWidth="1"/>
    <col min="3" max="3" width="18.5703125" customWidth="1"/>
    <col min="4" max="4" width="30.140625" bestFit="1" customWidth="1"/>
    <col min="5" max="5" width="18.85546875" customWidth="1"/>
    <col min="6" max="6" width="18.42578125" customWidth="1"/>
    <col min="7" max="7" width="10" bestFit="1" customWidth="1"/>
    <col min="8" max="8" width="10.85546875" customWidth="1"/>
    <col min="9" max="9" width="12.28515625" style="19" bestFit="1" customWidth="1"/>
    <col min="10" max="10" width="14.7109375" bestFit="1" customWidth="1"/>
    <col min="11" max="11" width="22.140625" hidden="1" customWidth="1"/>
    <col min="12" max="12" width="20.85546875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9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ht="15" customHeight="1">
      <c r="A2" s="76" t="s">
        <v>418</v>
      </c>
      <c r="B2" s="34" t="s">
        <v>68</v>
      </c>
      <c r="C2" s="54" t="s">
        <v>98</v>
      </c>
      <c r="D2" s="2"/>
      <c r="E2" s="2" t="s">
        <v>99</v>
      </c>
      <c r="F2" s="2" t="s">
        <v>98</v>
      </c>
      <c r="G2" s="2"/>
      <c r="H2" s="92"/>
      <c r="I2" s="92"/>
      <c r="J2" s="92">
        <v>6</v>
      </c>
      <c r="K2" s="92"/>
      <c r="L2" s="92"/>
    </row>
    <row r="3" spans="1:12" ht="16.5">
      <c r="A3" s="76" t="s">
        <v>418</v>
      </c>
      <c r="B3" s="34" t="s">
        <v>111</v>
      </c>
      <c r="C3" s="56" t="s">
        <v>153</v>
      </c>
      <c r="D3" s="3"/>
      <c r="E3" s="3" t="s">
        <v>154</v>
      </c>
      <c r="F3" s="3" t="s">
        <v>155</v>
      </c>
      <c r="G3" s="3" t="s">
        <v>156</v>
      </c>
      <c r="H3" s="91"/>
      <c r="I3" s="91">
        <v>70</v>
      </c>
      <c r="J3" s="91"/>
      <c r="K3" s="91"/>
      <c r="L3" s="154" t="s">
        <v>157</v>
      </c>
    </row>
    <row r="4" spans="1:12" ht="16.5">
      <c r="A4" s="76" t="s">
        <v>418</v>
      </c>
      <c r="B4" s="34" t="s">
        <v>162</v>
      </c>
      <c r="C4" s="54" t="s">
        <v>98</v>
      </c>
      <c r="D4" s="3"/>
      <c r="E4" s="2" t="s">
        <v>99</v>
      </c>
      <c r="F4" s="2" t="s">
        <v>98</v>
      </c>
      <c r="G4" s="3"/>
      <c r="H4" s="92"/>
      <c r="I4" s="92"/>
      <c r="J4" s="92">
        <v>1</v>
      </c>
      <c r="K4" s="92"/>
      <c r="L4" s="92"/>
    </row>
    <row r="5" spans="1:12" ht="16.5">
      <c r="A5" s="76" t="s">
        <v>418</v>
      </c>
      <c r="B5" s="34" t="s">
        <v>162</v>
      </c>
      <c r="C5" s="56" t="s">
        <v>165</v>
      </c>
      <c r="D5" s="3"/>
      <c r="E5" s="3" t="s">
        <v>165</v>
      </c>
      <c r="F5" s="3"/>
      <c r="G5" s="3"/>
      <c r="H5" s="91"/>
      <c r="I5" s="91"/>
      <c r="J5" s="91">
        <v>1</v>
      </c>
      <c r="K5" s="91"/>
      <c r="L5" s="91"/>
    </row>
    <row r="6" spans="1:12" ht="16.5">
      <c r="A6" s="76" t="s">
        <v>418</v>
      </c>
      <c r="B6" s="34" t="s">
        <v>162</v>
      </c>
      <c r="C6" s="62" t="s">
        <v>421</v>
      </c>
      <c r="D6" s="63"/>
      <c r="E6" s="63" t="s">
        <v>174</v>
      </c>
      <c r="F6" s="63"/>
      <c r="G6" s="63"/>
      <c r="H6" s="64"/>
      <c r="I6" s="64"/>
      <c r="J6" s="64">
        <v>1</v>
      </c>
      <c r="K6" s="64"/>
      <c r="L6" s="64"/>
    </row>
    <row r="7" spans="1:12" ht="16.5">
      <c r="A7" s="76" t="s">
        <v>418</v>
      </c>
      <c r="B7" s="34" t="s">
        <v>162</v>
      </c>
      <c r="C7" s="56" t="s">
        <v>202</v>
      </c>
      <c r="D7" s="3"/>
      <c r="E7" s="3" t="s">
        <v>99</v>
      </c>
      <c r="F7" s="3" t="s">
        <v>98</v>
      </c>
      <c r="G7" s="3" t="s">
        <v>175</v>
      </c>
      <c r="H7" s="91"/>
      <c r="I7" s="91"/>
      <c r="J7" s="91">
        <v>1</v>
      </c>
      <c r="K7" s="91"/>
      <c r="L7" s="91"/>
    </row>
    <row r="8" spans="1:12" ht="16.5">
      <c r="A8" s="76" t="s">
        <v>418</v>
      </c>
      <c r="B8" s="34" t="s">
        <v>195</v>
      </c>
      <c r="C8" s="62" t="s">
        <v>370</v>
      </c>
      <c r="D8" s="63"/>
      <c r="E8" s="63" t="s">
        <v>174</v>
      </c>
      <c r="F8" s="63"/>
      <c r="G8" s="63"/>
      <c r="H8" s="64"/>
      <c r="I8" s="64"/>
      <c r="J8" s="64">
        <v>4</v>
      </c>
      <c r="K8" s="64"/>
      <c r="L8" s="64"/>
    </row>
    <row r="9" spans="1:12" ht="16.5">
      <c r="A9" s="76" t="s">
        <v>418</v>
      </c>
      <c r="B9" s="34" t="s">
        <v>195</v>
      </c>
      <c r="C9" s="56" t="s">
        <v>98</v>
      </c>
      <c r="D9" s="3"/>
      <c r="E9" s="2" t="s">
        <v>99</v>
      </c>
      <c r="F9" s="2" t="s">
        <v>98</v>
      </c>
      <c r="G9" s="3"/>
      <c r="H9" s="91"/>
      <c r="I9" s="91"/>
      <c r="J9" s="91">
        <v>2</v>
      </c>
      <c r="K9" s="91"/>
      <c r="L9" s="91"/>
    </row>
    <row r="10" spans="1:12" ht="16.5">
      <c r="A10" s="76" t="s">
        <v>418</v>
      </c>
      <c r="B10" s="34" t="s">
        <v>195</v>
      </c>
      <c r="C10" s="54" t="s">
        <v>202</v>
      </c>
      <c r="D10" s="3"/>
      <c r="E10" s="3" t="s">
        <v>99</v>
      </c>
      <c r="F10" s="3" t="s">
        <v>98</v>
      </c>
      <c r="G10" s="3" t="s">
        <v>175</v>
      </c>
      <c r="H10" s="92"/>
      <c r="I10" s="92"/>
      <c r="J10" s="92">
        <v>3</v>
      </c>
      <c r="K10" s="92"/>
      <c r="L10" s="92"/>
    </row>
    <row r="11" spans="1:12" ht="16.5">
      <c r="A11" s="76" t="s">
        <v>418</v>
      </c>
      <c r="B11" s="34" t="s">
        <v>208</v>
      </c>
      <c r="C11" s="56" t="s">
        <v>98</v>
      </c>
      <c r="D11" s="3"/>
      <c r="E11" s="2" t="s">
        <v>99</v>
      </c>
      <c r="F11" s="2" t="s">
        <v>98</v>
      </c>
      <c r="G11" s="3"/>
      <c r="H11" s="91"/>
      <c r="I11" s="91"/>
      <c r="J11" s="91">
        <v>5</v>
      </c>
      <c r="K11" s="91"/>
      <c r="L11" s="91"/>
    </row>
    <row r="12" spans="1:12" ht="16.5">
      <c r="A12" s="76" t="s">
        <v>418</v>
      </c>
      <c r="B12" s="34" t="s">
        <v>291</v>
      </c>
      <c r="C12" s="56" t="s">
        <v>98</v>
      </c>
      <c r="D12" s="3"/>
      <c r="E12" s="2" t="s">
        <v>99</v>
      </c>
      <c r="F12" s="2" t="s">
        <v>98</v>
      </c>
      <c r="G12" s="3"/>
      <c r="H12" s="91"/>
      <c r="I12" s="91"/>
      <c r="J12" s="91">
        <v>2</v>
      </c>
      <c r="K12" s="91"/>
      <c r="L12" s="91"/>
    </row>
    <row r="13" spans="1:12" ht="16.5">
      <c r="A13" s="76" t="s">
        <v>418</v>
      </c>
      <c r="B13" s="34" t="s">
        <v>304</v>
      </c>
      <c r="C13" s="56" t="s">
        <v>317</v>
      </c>
      <c r="D13" s="3"/>
      <c r="E13" s="3" t="s">
        <v>99</v>
      </c>
      <c r="F13" s="3" t="s">
        <v>318</v>
      </c>
      <c r="G13" s="3" t="s">
        <v>319</v>
      </c>
      <c r="H13" s="91"/>
      <c r="I13" s="91"/>
      <c r="J13" s="91">
        <v>1</v>
      </c>
      <c r="K13" s="91"/>
      <c r="L13" s="91"/>
    </row>
    <row r="14" spans="1:12" ht="16.5">
      <c r="A14" s="76" t="s">
        <v>418</v>
      </c>
      <c r="B14" s="34" t="s">
        <v>332</v>
      </c>
      <c r="C14" s="54" t="s">
        <v>317</v>
      </c>
      <c r="D14" s="3"/>
      <c r="E14" s="3" t="s">
        <v>99</v>
      </c>
      <c r="F14" s="3" t="s">
        <v>318</v>
      </c>
      <c r="G14" s="3" t="s">
        <v>319</v>
      </c>
      <c r="H14" s="92"/>
      <c r="I14" s="92"/>
      <c r="J14" s="92">
        <v>1</v>
      </c>
      <c r="K14" s="54"/>
      <c r="L14" s="54"/>
    </row>
    <row r="15" spans="1:12" ht="16.5">
      <c r="A15" s="76" t="s">
        <v>418</v>
      </c>
      <c r="B15" s="34" t="s">
        <v>353</v>
      </c>
      <c r="C15" s="59" t="s">
        <v>370</v>
      </c>
      <c r="D15" s="60"/>
      <c r="E15" s="60" t="s">
        <v>174</v>
      </c>
      <c r="F15" s="60"/>
      <c r="G15" s="60"/>
      <c r="H15" s="61"/>
      <c r="I15" s="61"/>
      <c r="J15" s="61">
        <v>12</v>
      </c>
      <c r="K15" s="59"/>
      <c r="L15" s="59" t="s">
        <v>371</v>
      </c>
    </row>
    <row r="16" spans="1:12" s="3" customFormat="1">
      <c r="A16" s="3" t="s">
        <v>418</v>
      </c>
      <c r="B16" s="3" t="s">
        <v>372</v>
      </c>
      <c r="D16" s="2" t="s">
        <v>786</v>
      </c>
      <c r="I16" s="3">
        <v>50000</v>
      </c>
    </row>
    <row r="17" spans="1:12" s="3" customFormat="1">
      <c r="A17" s="3" t="s">
        <v>418</v>
      </c>
      <c r="B17" s="3" t="s">
        <v>372</v>
      </c>
      <c r="D17" s="2" t="s">
        <v>787</v>
      </c>
      <c r="I17" s="3">
        <v>6500</v>
      </c>
    </row>
    <row r="18" spans="1:12" ht="16.5">
      <c r="A18" s="76" t="s">
        <v>418</v>
      </c>
      <c r="B18" s="34" t="s">
        <v>406</v>
      </c>
      <c r="C18" s="56" t="s">
        <v>165</v>
      </c>
      <c r="D18" s="3"/>
      <c r="E18" s="3" t="s">
        <v>165</v>
      </c>
      <c r="F18" s="3"/>
      <c r="G18" s="3"/>
      <c r="H18" s="91"/>
      <c r="I18" s="91"/>
      <c r="J18" s="91">
        <v>1</v>
      </c>
      <c r="K18" s="91"/>
      <c r="L18" s="91"/>
    </row>
    <row r="19" spans="1:12" ht="16.5">
      <c r="A19" s="76" t="s">
        <v>418</v>
      </c>
      <c r="B19" s="34" t="s">
        <v>406</v>
      </c>
      <c r="C19" s="54" t="s">
        <v>98</v>
      </c>
      <c r="D19" s="3"/>
      <c r="E19" s="2" t="s">
        <v>99</v>
      </c>
      <c r="F19" s="2" t="s">
        <v>98</v>
      </c>
      <c r="G19" s="3"/>
      <c r="H19" s="92"/>
      <c r="I19" s="92"/>
      <c r="J19" s="92">
        <v>1</v>
      </c>
      <c r="K19" s="54"/>
      <c r="L19" s="54"/>
    </row>
    <row r="20" spans="1:12" ht="16.5">
      <c r="A20" s="76" t="s">
        <v>418</v>
      </c>
      <c r="B20" s="34" t="s">
        <v>406</v>
      </c>
      <c r="C20" s="59" t="s">
        <v>370</v>
      </c>
      <c r="D20" s="60"/>
      <c r="E20" s="60" t="s">
        <v>174</v>
      </c>
      <c r="F20" s="60"/>
      <c r="G20" s="60"/>
      <c r="H20" s="61"/>
      <c r="I20" s="61"/>
      <c r="J20" s="61">
        <v>1</v>
      </c>
      <c r="K20" s="59"/>
      <c r="L20" s="59" t="s">
        <v>412</v>
      </c>
    </row>
    <row r="21" spans="1:12" s="3" customFormat="1">
      <c r="A21" s="76" t="s">
        <v>469</v>
      </c>
      <c r="B21" s="34" t="s">
        <v>468</v>
      </c>
      <c r="D21" s="74" t="s">
        <v>532</v>
      </c>
      <c r="F21" s="3" t="s">
        <v>98</v>
      </c>
      <c r="G21" s="3" t="s">
        <v>560</v>
      </c>
      <c r="I21" s="75">
        <v>64</v>
      </c>
      <c r="J21" s="13">
        <v>38</v>
      </c>
    </row>
    <row r="22" spans="1:12" s="3" customFormat="1">
      <c r="A22" s="76" t="s">
        <v>469</v>
      </c>
      <c r="B22" s="34" t="s">
        <v>468</v>
      </c>
      <c r="D22" s="74" t="s">
        <v>534</v>
      </c>
      <c r="F22" s="3" t="s">
        <v>98</v>
      </c>
      <c r="G22" s="3" t="s">
        <v>560</v>
      </c>
      <c r="I22" s="75">
        <v>5</v>
      </c>
      <c r="J22" s="13">
        <v>14</v>
      </c>
    </row>
    <row r="23" spans="1:12" s="3" customFormat="1">
      <c r="A23" s="76" t="s">
        <v>469</v>
      </c>
      <c r="B23" s="34" t="s">
        <v>468</v>
      </c>
      <c r="D23" s="74" t="s">
        <v>539</v>
      </c>
      <c r="I23" s="75">
        <v>3</v>
      </c>
      <c r="J23" s="13"/>
    </row>
    <row r="24" spans="1:12" s="37" customFormat="1">
      <c r="A24" s="17" t="s">
        <v>31</v>
      </c>
      <c r="B24" s="34" t="s">
        <v>42</v>
      </c>
      <c r="C24" s="35"/>
      <c r="D24" s="40" t="s">
        <v>44</v>
      </c>
      <c r="E24" s="36"/>
      <c r="F24" s="36"/>
      <c r="G24" s="36"/>
      <c r="H24" s="36"/>
      <c r="I24" s="34">
        <v>15</v>
      </c>
      <c r="J24" s="34">
        <v>9</v>
      </c>
      <c r="K24" s="17"/>
      <c r="L24" s="17"/>
    </row>
    <row r="25" spans="1:12" s="19" customFormat="1">
      <c r="A25" s="3" t="s">
        <v>783</v>
      </c>
      <c r="B25" s="14" t="s">
        <v>586</v>
      </c>
      <c r="C25" s="20"/>
      <c r="D25" s="23" t="s">
        <v>593</v>
      </c>
      <c r="E25" s="16"/>
      <c r="F25" s="16"/>
      <c r="G25" s="16"/>
      <c r="H25" s="16"/>
      <c r="I25" s="14">
        <v>90</v>
      </c>
      <c r="J25" s="14"/>
      <c r="K25" s="13"/>
      <c r="L25" s="13"/>
    </row>
    <row r="26" spans="1:12" s="19" customFormat="1">
      <c r="A26" s="3" t="s">
        <v>783</v>
      </c>
      <c r="B26" s="14" t="s">
        <v>589</v>
      </c>
      <c r="C26" s="20"/>
      <c r="D26" s="23" t="s">
        <v>592</v>
      </c>
      <c r="E26" s="16"/>
      <c r="F26" s="16"/>
      <c r="G26" s="16"/>
      <c r="H26" s="16"/>
      <c r="I26" s="14"/>
      <c r="J26" s="14">
        <v>1</v>
      </c>
      <c r="K26" s="13"/>
      <c r="L26" s="13"/>
    </row>
    <row r="27" spans="1:12" s="19" customFormat="1">
      <c r="A27" s="3" t="s">
        <v>783</v>
      </c>
      <c r="B27" s="14" t="s">
        <v>589</v>
      </c>
      <c r="C27" s="20"/>
      <c r="D27" s="23" t="s">
        <v>593</v>
      </c>
      <c r="E27" s="16"/>
      <c r="F27" s="16"/>
      <c r="G27" s="16"/>
      <c r="H27" s="16"/>
      <c r="I27" s="14">
        <v>984</v>
      </c>
      <c r="J27" s="14"/>
      <c r="K27" s="13"/>
      <c r="L27" s="13"/>
    </row>
    <row r="28" spans="1:12" s="19" customFormat="1">
      <c r="A28" s="3" t="s">
        <v>783</v>
      </c>
      <c r="B28" s="14" t="s">
        <v>589</v>
      </c>
      <c r="C28" s="20"/>
      <c r="D28" s="23" t="s">
        <v>777</v>
      </c>
      <c r="E28" s="16"/>
      <c r="F28" s="16"/>
      <c r="G28" s="16"/>
      <c r="H28" s="16"/>
      <c r="I28" s="14"/>
      <c r="J28" s="14">
        <v>2</v>
      </c>
      <c r="K28" s="13"/>
      <c r="L28" s="13"/>
    </row>
    <row r="29" spans="1:12" s="19" customFormat="1">
      <c r="A29" s="3" t="s">
        <v>745</v>
      </c>
      <c r="B29" s="14" t="s">
        <v>577</v>
      </c>
      <c r="C29" s="20"/>
      <c r="D29" s="23" t="s">
        <v>595</v>
      </c>
      <c r="E29" s="16"/>
      <c r="F29" s="16"/>
      <c r="G29" s="16"/>
      <c r="H29" s="16"/>
      <c r="I29" s="14"/>
      <c r="J29" s="14">
        <v>2</v>
      </c>
      <c r="K29" s="13"/>
      <c r="L29" s="13"/>
    </row>
    <row r="30" spans="1:12" s="19" customFormat="1">
      <c r="A30" s="3" t="s">
        <v>745</v>
      </c>
      <c r="B30" s="14" t="s">
        <v>580</v>
      </c>
      <c r="C30" s="20"/>
      <c r="D30" s="24" t="s">
        <v>599</v>
      </c>
      <c r="E30" s="16"/>
      <c r="F30" s="16"/>
      <c r="G30" s="16"/>
      <c r="H30" s="16"/>
      <c r="I30" s="14">
        <v>945</v>
      </c>
      <c r="J30" s="14">
        <v>1</v>
      </c>
      <c r="K30" s="13"/>
      <c r="L30" s="13"/>
    </row>
    <row r="31" spans="1:12" s="19" customFormat="1">
      <c r="A31" s="3" t="s">
        <v>745</v>
      </c>
      <c r="B31" s="14" t="s">
        <v>581</v>
      </c>
      <c r="C31" s="20"/>
      <c r="D31" s="24" t="s">
        <v>604</v>
      </c>
      <c r="E31" s="16"/>
      <c r="F31" s="16"/>
      <c r="G31" s="16"/>
      <c r="H31" s="16"/>
      <c r="I31" s="85" t="s">
        <v>605</v>
      </c>
      <c r="J31" s="14">
        <v>5</v>
      </c>
      <c r="K31" s="13"/>
      <c r="L31" s="13"/>
    </row>
    <row r="32" spans="1:12" s="19" customFormat="1">
      <c r="A32" s="3" t="s">
        <v>745</v>
      </c>
      <c r="B32" s="14" t="s">
        <v>775</v>
      </c>
      <c r="C32" s="20"/>
      <c r="D32" s="24" t="s">
        <v>776</v>
      </c>
      <c r="E32" s="16"/>
      <c r="F32" s="16"/>
      <c r="G32" s="16"/>
      <c r="H32" s="16"/>
      <c r="I32" s="85"/>
      <c r="J32" s="14"/>
      <c r="K32" s="13"/>
      <c r="L32" s="13"/>
    </row>
    <row r="33" spans="1:12" ht="15" customHeight="1">
      <c r="A33" s="3"/>
      <c r="B33" s="12"/>
      <c r="C33" s="4"/>
      <c r="D33" s="5"/>
      <c r="E33" s="5"/>
      <c r="F33" s="5"/>
      <c r="G33" s="5"/>
      <c r="H33" s="5"/>
      <c r="I33" s="12"/>
      <c r="J33" s="5"/>
      <c r="K33" s="3"/>
      <c r="L33" s="3"/>
    </row>
    <row r="34" spans="1:12" ht="15" customHeight="1">
      <c r="A34" s="3"/>
      <c r="B34" s="12"/>
      <c r="C34" s="4"/>
      <c r="D34" s="5"/>
      <c r="E34" s="5"/>
      <c r="F34" s="5"/>
      <c r="G34" s="5"/>
      <c r="H34" s="5"/>
      <c r="I34" s="12"/>
      <c r="J34" s="5"/>
      <c r="K34" s="3"/>
      <c r="L34" s="3"/>
    </row>
    <row r="35" spans="1:12" ht="15" customHeight="1">
      <c r="A35" s="3"/>
      <c r="B35" s="12"/>
      <c r="C35" s="4"/>
      <c r="D35" s="5"/>
      <c r="E35" s="5"/>
      <c r="F35" s="5"/>
      <c r="G35" s="5"/>
      <c r="H35" s="5"/>
      <c r="I35" s="12"/>
      <c r="J35" s="5"/>
      <c r="K35" s="3"/>
      <c r="L35" s="3"/>
    </row>
    <row r="36" spans="1:12" ht="15" customHeight="1">
      <c r="A36" s="3"/>
      <c r="B36" s="12"/>
      <c r="C36" s="4"/>
      <c r="D36" s="5"/>
      <c r="E36" s="5"/>
      <c r="F36" s="5"/>
      <c r="G36" s="5"/>
      <c r="H36" s="5"/>
      <c r="I36" s="12"/>
      <c r="J36" s="5"/>
      <c r="K36" s="3"/>
      <c r="L36" s="3"/>
    </row>
    <row r="37" spans="1:12" ht="15" customHeight="1">
      <c r="A37" s="3"/>
      <c r="B37" s="12"/>
      <c r="C37" s="4"/>
      <c r="D37" s="5"/>
      <c r="E37" s="5"/>
      <c r="F37" s="5"/>
      <c r="G37" s="5"/>
      <c r="H37" s="5"/>
      <c r="I37" s="12"/>
      <c r="J37" s="5"/>
      <c r="K37" s="3"/>
      <c r="L37" s="3"/>
    </row>
    <row r="38" spans="1:12" ht="15" customHeight="1">
      <c r="A38" s="3"/>
      <c r="B38" s="12"/>
      <c r="C38" s="4"/>
      <c r="D38" s="5"/>
      <c r="E38" s="5"/>
      <c r="F38" s="5"/>
      <c r="G38" s="5"/>
      <c r="H38" s="5"/>
      <c r="I38" s="12"/>
      <c r="J38" s="5"/>
      <c r="K38" s="3"/>
      <c r="L38" s="3"/>
    </row>
    <row r="39" spans="1:12" ht="15" customHeight="1">
      <c r="A39" s="3"/>
      <c r="B39" s="12"/>
      <c r="C39" s="4"/>
      <c r="D39" s="5"/>
      <c r="E39" s="5"/>
      <c r="F39" s="5"/>
      <c r="G39" s="5"/>
      <c r="H39" s="5"/>
      <c r="I39" s="12"/>
      <c r="J39" s="5"/>
      <c r="K39" s="3"/>
      <c r="L39" s="3"/>
    </row>
    <row r="40" spans="1:12" ht="15" customHeight="1">
      <c r="A40" s="3"/>
      <c r="B40" s="12"/>
      <c r="C40" s="4"/>
      <c r="D40" s="5"/>
      <c r="E40" s="5"/>
      <c r="F40" s="5"/>
      <c r="G40" s="5"/>
      <c r="H40" s="5"/>
      <c r="I40" s="12"/>
      <c r="J40" s="5"/>
      <c r="K40" s="3"/>
      <c r="L40" s="3"/>
    </row>
    <row r="41" spans="1:12" ht="15" customHeight="1">
      <c r="A41" s="3"/>
      <c r="B41" s="12"/>
      <c r="C41" s="4"/>
      <c r="D41" s="5"/>
      <c r="E41" s="5"/>
      <c r="F41" s="5"/>
      <c r="G41" s="5"/>
      <c r="H41" s="5"/>
      <c r="I41" s="12"/>
      <c r="J41" s="5"/>
      <c r="K41" s="3"/>
      <c r="L41" s="3"/>
    </row>
    <row r="42" spans="1:12" ht="15" customHeight="1">
      <c r="A42" s="3"/>
      <c r="B42" s="12"/>
      <c r="C42" s="4"/>
      <c r="D42" s="5"/>
      <c r="E42" s="5"/>
      <c r="F42" s="5"/>
      <c r="G42" s="5"/>
      <c r="H42" s="5"/>
      <c r="I42" s="12"/>
      <c r="J42" s="5"/>
      <c r="K42" s="3"/>
      <c r="L42" s="3"/>
    </row>
    <row r="43" spans="1:12" ht="15" customHeight="1">
      <c r="A43" s="3"/>
      <c r="B43" s="12"/>
      <c r="C43" s="4"/>
      <c r="D43" s="5"/>
      <c r="E43" s="5"/>
      <c r="F43" s="5"/>
      <c r="G43" s="5"/>
      <c r="H43" s="5"/>
      <c r="I43" s="12"/>
      <c r="J43" s="5"/>
      <c r="K43" s="3"/>
      <c r="L43" s="3"/>
    </row>
    <row r="44" spans="1:12" ht="15" customHeight="1">
      <c r="A44" s="3"/>
      <c r="B44" s="12"/>
      <c r="C44" s="4"/>
      <c r="D44" s="5"/>
      <c r="E44" s="5"/>
      <c r="F44" s="5"/>
      <c r="G44" s="5"/>
      <c r="H44" s="5"/>
      <c r="I44" s="12"/>
      <c r="J44" s="5"/>
      <c r="K44" s="3"/>
      <c r="L44" s="3"/>
    </row>
    <row r="45" spans="1:12" ht="15" customHeight="1">
      <c r="A45" s="3"/>
      <c r="B45" s="12"/>
      <c r="C45" s="4"/>
      <c r="D45" s="5"/>
      <c r="E45" s="5"/>
      <c r="F45" s="5"/>
      <c r="G45" s="5"/>
      <c r="H45" s="5"/>
      <c r="I45" s="12"/>
      <c r="J45" s="5"/>
      <c r="K45" s="3"/>
      <c r="L45" s="3"/>
    </row>
    <row r="46" spans="1:12" ht="15" customHeight="1">
      <c r="A46" s="3"/>
      <c r="B46" s="12"/>
      <c r="C46" s="4"/>
      <c r="D46" s="5"/>
      <c r="E46" s="5"/>
      <c r="F46" s="5"/>
      <c r="G46" s="5"/>
      <c r="H46" s="5"/>
      <c r="I46" s="12"/>
      <c r="J46" s="5"/>
      <c r="K46" s="3"/>
      <c r="L46" s="3"/>
    </row>
    <row r="47" spans="1:12" ht="15" customHeight="1">
      <c r="A47" s="3"/>
      <c r="B47" s="12"/>
      <c r="C47" s="4"/>
      <c r="D47" s="5"/>
      <c r="E47" s="5"/>
      <c r="F47" s="5"/>
      <c r="G47" s="5"/>
      <c r="H47" s="5"/>
      <c r="I47" s="12"/>
      <c r="J47" s="5"/>
      <c r="K47" s="3"/>
      <c r="L47" s="3"/>
    </row>
    <row r="48" spans="1:12" ht="15" customHeight="1">
      <c r="A48" s="3"/>
      <c r="B48" s="12"/>
      <c r="C48" s="4"/>
      <c r="D48" s="5"/>
      <c r="E48" s="5"/>
      <c r="F48" s="5"/>
      <c r="G48" s="5"/>
      <c r="H48" s="5"/>
      <c r="I48" s="12"/>
      <c r="J48" s="5"/>
      <c r="K48" s="3"/>
      <c r="L48" s="3"/>
    </row>
    <row r="49" spans="1:12" ht="15" customHeight="1">
      <c r="A49" s="3"/>
      <c r="B49" s="12"/>
      <c r="C49" s="4"/>
      <c r="D49" s="5"/>
      <c r="E49" s="5"/>
      <c r="F49" s="5"/>
      <c r="G49" s="5"/>
      <c r="H49" s="5"/>
      <c r="I49" s="12"/>
      <c r="J49" s="5"/>
      <c r="K49" s="3"/>
      <c r="L49" s="3"/>
    </row>
    <row r="50" spans="1:12">
      <c r="A50" s="3"/>
      <c r="B50" s="12"/>
      <c r="C50" s="4"/>
      <c r="D50" s="5"/>
      <c r="E50" s="5"/>
      <c r="F50" s="5"/>
      <c r="G50" s="5"/>
      <c r="H50" s="5"/>
      <c r="I50" s="12"/>
      <c r="J50" s="5"/>
      <c r="K50" s="3"/>
      <c r="L50" s="3"/>
    </row>
    <row r="51" spans="1:12">
      <c r="A51" s="3"/>
      <c r="B51" s="12"/>
      <c r="C51" s="4"/>
      <c r="D51" s="5"/>
      <c r="E51" s="5"/>
      <c r="F51" s="5"/>
      <c r="G51" s="5"/>
      <c r="H51" s="5"/>
      <c r="I51" s="12"/>
      <c r="J51" s="5"/>
      <c r="K51" s="3"/>
      <c r="L51" s="3"/>
    </row>
    <row r="52" spans="1:12">
      <c r="A52" s="3"/>
      <c r="B52" s="12"/>
      <c r="C52" s="4"/>
      <c r="D52" s="5"/>
      <c r="E52" s="5"/>
      <c r="F52" s="5"/>
      <c r="G52" s="5"/>
      <c r="H52" s="5"/>
      <c r="I52" s="12"/>
      <c r="J52" s="5"/>
      <c r="K52" s="3"/>
      <c r="L52" s="3"/>
    </row>
    <row r="53" spans="1:12">
      <c r="A53" s="3"/>
      <c r="B53" s="12"/>
      <c r="C53" s="4"/>
      <c r="D53" s="5"/>
      <c r="E53" s="5"/>
      <c r="F53" s="5"/>
      <c r="G53" s="5"/>
      <c r="H53" s="5"/>
      <c r="I53" s="12"/>
      <c r="J53" s="5"/>
      <c r="K53" s="3"/>
      <c r="L53" s="3"/>
    </row>
    <row r="54" spans="1:12">
      <c r="A54" s="3"/>
      <c r="B54" s="12"/>
      <c r="C54" s="4"/>
      <c r="D54" s="5"/>
      <c r="E54" s="5"/>
      <c r="F54" s="5"/>
      <c r="G54" s="5"/>
      <c r="H54" s="5"/>
      <c r="I54" s="12"/>
      <c r="J54" s="5"/>
      <c r="K54" s="3"/>
      <c r="L54" s="3"/>
    </row>
    <row r="55" spans="1:12">
      <c r="A55" s="3"/>
      <c r="B55" s="12"/>
      <c r="C55" s="4"/>
      <c r="D55" s="5"/>
      <c r="E55" s="5"/>
      <c r="F55" s="5"/>
      <c r="G55" s="5"/>
      <c r="H55" s="5"/>
      <c r="I55" s="12"/>
      <c r="J55" s="5"/>
      <c r="K55" s="3"/>
      <c r="L55" s="3"/>
    </row>
    <row r="56" spans="1:12">
      <c r="A56" s="3"/>
      <c r="B56" s="12"/>
      <c r="C56" s="6"/>
      <c r="D56" s="5"/>
      <c r="E56" s="5"/>
      <c r="F56" s="5"/>
      <c r="G56" s="5"/>
      <c r="H56" s="5"/>
      <c r="I56" s="12"/>
      <c r="J56" s="5"/>
      <c r="K56" s="3"/>
      <c r="L56" s="3"/>
    </row>
    <row r="57" spans="1:12">
      <c r="A57" s="3"/>
      <c r="B57" s="12"/>
      <c r="C57" s="4"/>
      <c r="D57" s="5"/>
      <c r="E57" s="5"/>
      <c r="F57" s="5"/>
      <c r="G57" s="5"/>
      <c r="H57" s="5"/>
      <c r="I57" s="12"/>
      <c r="J57" s="5"/>
      <c r="K57" s="3"/>
      <c r="L57" s="3"/>
    </row>
    <row r="58" spans="1:12">
      <c r="A58" s="3"/>
      <c r="B58" s="12"/>
      <c r="C58" s="4"/>
      <c r="D58" s="5"/>
      <c r="E58" s="5"/>
      <c r="F58" s="5"/>
      <c r="G58" s="5"/>
      <c r="H58" s="5"/>
      <c r="I58" s="12"/>
      <c r="J58" s="5"/>
      <c r="K58" s="3"/>
      <c r="L58" s="3"/>
    </row>
    <row r="59" spans="1:12">
      <c r="A59" s="3"/>
      <c r="B59" s="12"/>
      <c r="C59" s="4"/>
      <c r="D59" s="5"/>
      <c r="E59" s="5"/>
      <c r="F59" s="5"/>
      <c r="G59" s="5"/>
      <c r="H59" s="5"/>
      <c r="I59" s="12"/>
      <c r="J59" s="5"/>
      <c r="K59" s="3"/>
      <c r="L59" s="3"/>
    </row>
    <row r="60" spans="1:12">
      <c r="A60" s="3"/>
      <c r="B60" s="12"/>
      <c r="C60" s="4"/>
      <c r="D60" s="5"/>
      <c r="E60" s="5"/>
      <c r="F60" s="5"/>
      <c r="G60" s="5"/>
      <c r="H60" s="5"/>
      <c r="I60" s="12"/>
      <c r="J60" s="5"/>
      <c r="K60" s="3"/>
      <c r="L60" s="3"/>
    </row>
    <row r="61" spans="1:12">
      <c r="A61" s="3"/>
      <c r="B61" s="12"/>
      <c r="C61" s="4"/>
      <c r="D61" s="5"/>
      <c r="E61" s="5"/>
      <c r="F61" s="5"/>
      <c r="G61" s="5"/>
      <c r="H61" s="5"/>
      <c r="I61" s="12"/>
      <c r="J61" s="5"/>
      <c r="K61" s="3"/>
      <c r="L61" s="3"/>
    </row>
    <row r="62" spans="1:12">
      <c r="A62" s="3"/>
      <c r="B62" s="12"/>
      <c r="C62" s="4"/>
      <c r="D62" s="5"/>
      <c r="E62" s="5"/>
      <c r="F62" s="5"/>
      <c r="G62" s="5"/>
      <c r="H62" s="5"/>
      <c r="I62" s="12"/>
      <c r="J62" s="5"/>
      <c r="K62" s="3"/>
      <c r="L62" s="3"/>
    </row>
    <row r="63" spans="1:12">
      <c r="A63" s="3"/>
      <c r="B63" s="12"/>
      <c r="C63" s="4"/>
      <c r="D63" s="5"/>
      <c r="E63" s="5"/>
      <c r="F63" s="5"/>
      <c r="G63" s="5"/>
      <c r="H63" s="5"/>
      <c r="I63" s="12"/>
      <c r="J63" s="5"/>
      <c r="K63" s="3"/>
      <c r="L63" s="3"/>
    </row>
    <row r="64" spans="1:12">
      <c r="A64" s="3"/>
      <c r="B64" s="12"/>
      <c r="C64" s="4"/>
      <c r="D64" s="5"/>
      <c r="E64" s="5"/>
      <c r="F64" s="5"/>
      <c r="G64" s="5"/>
      <c r="H64" s="5"/>
      <c r="I64" s="12"/>
      <c r="J64" s="5"/>
      <c r="K64" s="3"/>
      <c r="L64" s="3"/>
    </row>
    <row r="65" spans="1:12">
      <c r="A65" s="3"/>
      <c r="B65" s="12"/>
      <c r="C65" s="4"/>
      <c r="D65" s="5"/>
      <c r="E65" s="5"/>
      <c r="F65" s="5"/>
      <c r="G65" s="5"/>
      <c r="H65" s="5"/>
      <c r="I65" s="12"/>
      <c r="J65" s="5"/>
      <c r="K65" s="3"/>
      <c r="L65" s="3"/>
    </row>
    <row r="66" spans="1:12">
      <c r="A66" s="3"/>
      <c r="B66" s="12"/>
      <c r="C66" s="4"/>
      <c r="D66" s="5"/>
      <c r="E66" s="5"/>
      <c r="F66" s="5"/>
      <c r="G66" s="5"/>
      <c r="H66" s="5"/>
      <c r="I66" s="12"/>
      <c r="J66" s="5"/>
      <c r="K66" s="3"/>
      <c r="L66" s="3"/>
    </row>
    <row r="67" spans="1:12">
      <c r="A67" s="3"/>
      <c r="B67" s="12"/>
      <c r="C67" s="4"/>
      <c r="D67" s="5"/>
      <c r="E67" s="5"/>
      <c r="F67" s="5"/>
      <c r="G67" s="5"/>
      <c r="H67" s="5"/>
      <c r="I67" s="12"/>
      <c r="J67" s="5"/>
      <c r="K67" s="3"/>
      <c r="L67" s="3"/>
    </row>
    <row r="68" spans="1:12">
      <c r="A68" s="3"/>
      <c r="B68" s="12"/>
      <c r="C68" s="4"/>
      <c r="D68" s="5"/>
      <c r="E68" s="5"/>
      <c r="F68" s="5"/>
      <c r="G68" s="5"/>
      <c r="H68" s="5"/>
      <c r="I68" s="12"/>
      <c r="J68" s="5"/>
      <c r="K68" s="3"/>
      <c r="L68" s="3"/>
    </row>
    <row r="69" spans="1:12">
      <c r="A69" s="3"/>
      <c r="B69" s="12"/>
      <c r="C69" s="4"/>
      <c r="D69" s="5"/>
      <c r="E69" s="5"/>
      <c r="F69" s="5"/>
      <c r="G69" s="5"/>
      <c r="H69" s="5"/>
      <c r="I69" s="12"/>
      <c r="J69" s="5"/>
      <c r="K69" s="3"/>
      <c r="L69" s="3"/>
    </row>
    <row r="70" spans="1:12">
      <c r="A70" s="3"/>
      <c r="B70" s="12"/>
      <c r="C70" s="4"/>
      <c r="D70" s="5"/>
      <c r="E70" s="5"/>
      <c r="F70" s="5"/>
      <c r="G70" s="5"/>
      <c r="H70" s="5"/>
      <c r="I70" s="12"/>
      <c r="J70" s="5"/>
      <c r="K70" s="3"/>
      <c r="L70" s="3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7"/>
  <sheetViews>
    <sheetView zoomScaleNormal="100" workbookViewId="0">
      <pane ySplit="1" topLeftCell="A2" activePane="bottomLeft" state="frozen"/>
      <selection pane="bottomLeft" activeCell="O13" sqref="O13"/>
    </sheetView>
  </sheetViews>
  <sheetFormatPr defaultRowHeight="15.75"/>
  <cols>
    <col min="1" max="1" width="12.42578125" bestFit="1" customWidth="1"/>
    <col min="2" max="2" width="12.140625" customWidth="1"/>
    <col min="3" max="3" width="18.5703125" customWidth="1"/>
    <col min="4" max="4" width="30.140625" style="31" bestFit="1" customWidth="1"/>
    <col min="5" max="5" width="18.85546875" customWidth="1"/>
    <col min="6" max="6" width="18.42578125" customWidth="1"/>
    <col min="7" max="7" width="10" customWidth="1"/>
    <col min="8" max="8" width="10.85546875" customWidth="1"/>
    <col min="9" max="9" width="12.28515625" style="32" bestFit="1" customWidth="1"/>
    <col min="10" max="10" width="14.7109375" style="19" bestFit="1" customWidth="1"/>
    <col min="11" max="11" width="22.140625" hidden="1" customWidth="1"/>
    <col min="12" max="12" width="20.85546875" customWidth="1"/>
  </cols>
  <sheetData>
    <row r="1" spans="1:12" s="11" customFormat="1" ht="18.75" customHeight="1">
      <c r="A1" s="8" t="s">
        <v>9</v>
      </c>
      <c r="B1" s="8" t="s">
        <v>0</v>
      </c>
      <c r="C1" s="8" t="s">
        <v>10</v>
      </c>
      <c r="D1" s="38" t="s">
        <v>1</v>
      </c>
      <c r="E1" s="10" t="s">
        <v>12</v>
      </c>
      <c r="F1" s="9" t="s">
        <v>8</v>
      </c>
      <c r="G1" s="9" t="s">
        <v>6</v>
      </c>
      <c r="H1" s="9" t="s">
        <v>7</v>
      </c>
      <c r="I1" s="8" t="s">
        <v>2</v>
      </c>
      <c r="J1" s="8" t="s">
        <v>3</v>
      </c>
      <c r="K1" s="9" t="s">
        <v>4</v>
      </c>
      <c r="L1" s="8" t="s">
        <v>5</v>
      </c>
    </row>
    <row r="2" spans="1:12" s="52" customFormat="1" ht="15" customHeight="1">
      <c r="A2" s="76" t="s">
        <v>418</v>
      </c>
      <c r="B2" s="147" t="s">
        <v>68</v>
      </c>
      <c r="C2" s="54"/>
      <c r="D2" s="54" t="s">
        <v>33</v>
      </c>
      <c r="E2" s="136" t="s">
        <v>93</v>
      </c>
      <c r="F2" s="136"/>
      <c r="G2" s="136"/>
      <c r="H2" s="136"/>
      <c r="I2" s="136">
        <v>20</v>
      </c>
      <c r="J2" s="136">
        <v>11</v>
      </c>
      <c r="K2" s="136"/>
      <c r="L2" s="136"/>
    </row>
    <row r="3" spans="1:12" s="52" customFormat="1" ht="15" customHeight="1">
      <c r="A3" s="76" t="s">
        <v>418</v>
      </c>
      <c r="B3" s="147" t="s">
        <v>111</v>
      </c>
      <c r="C3" s="54"/>
      <c r="D3" s="54" t="s">
        <v>33</v>
      </c>
      <c r="E3" s="3" t="s">
        <v>93</v>
      </c>
      <c r="F3" s="3"/>
      <c r="G3" s="3"/>
      <c r="H3" s="136"/>
      <c r="I3" s="136">
        <v>498</v>
      </c>
      <c r="J3" s="136">
        <v>12</v>
      </c>
      <c r="K3" s="136"/>
      <c r="L3" s="136"/>
    </row>
    <row r="4" spans="1:12" s="52" customFormat="1" ht="15" customHeight="1">
      <c r="A4" s="76" t="s">
        <v>418</v>
      </c>
      <c r="B4" s="147" t="s">
        <v>158</v>
      </c>
      <c r="C4" s="54"/>
      <c r="D4" s="54" t="s">
        <v>159</v>
      </c>
      <c r="E4" s="3" t="s">
        <v>93</v>
      </c>
      <c r="F4" s="3" t="s">
        <v>160</v>
      </c>
      <c r="G4" s="3" t="s">
        <v>161</v>
      </c>
      <c r="H4" s="136"/>
      <c r="I4" s="136"/>
      <c r="J4" s="136">
        <v>1</v>
      </c>
      <c r="K4" s="136"/>
      <c r="L4" s="136"/>
    </row>
    <row r="5" spans="1:12" s="52" customFormat="1" ht="12.75" customHeight="1">
      <c r="A5" s="76" t="s">
        <v>418</v>
      </c>
      <c r="B5" s="147" t="s">
        <v>162</v>
      </c>
      <c r="C5" s="56"/>
      <c r="D5" s="54" t="s">
        <v>163</v>
      </c>
      <c r="E5" s="3" t="s">
        <v>93</v>
      </c>
      <c r="F5" s="3" t="s">
        <v>160</v>
      </c>
      <c r="G5" s="3" t="s">
        <v>164</v>
      </c>
      <c r="H5" s="135"/>
      <c r="I5" s="135">
        <v>509</v>
      </c>
      <c r="J5" s="135">
        <v>1</v>
      </c>
      <c r="K5" s="135"/>
      <c r="L5" s="135"/>
    </row>
    <row r="6" spans="1:12" s="52" customFormat="1" ht="15" customHeight="1">
      <c r="A6" s="76" t="s">
        <v>418</v>
      </c>
      <c r="B6" s="147" t="s">
        <v>195</v>
      </c>
      <c r="C6" s="54"/>
      <c r="D6" s="54" t="s">
        <v>198</v>
      </c>
      <c r="E6" s="3" t="s">
        <v>93</v>
      </c>
      <c r="F6" s="3" t="s">
        <v>199</v>
      </c>
      <c r="G6" s="3"/>
      <c r="H6" s="136"/>
      <c r="I6" s="136"/>
      <c r="J6" s="136">
        <v>1</v>
      </c>
      <c r="K6" s="136"/>
      <c r="L6" s="136"/>
    </row>
    <row r="7" spans="1:12" s="52" customFormat="1" ht="15" customHeight="1">
      <c r="A7" s="76" t="s">
        <v>418</v>
      </c>
      <c r="B7" s="147" t="s">
        <v>195</v>
      </c>
      <c r="C7" s="56"/>
      <c r="D7" s="54" t="s">
        <v>33</v>
      </c>
      <c r="E7" s="3" t="s">
        <v>93</v>
      </c>
      <c r="F7" s="3"/>
      <c r="G7" s="3"/>
      <c r="H7" s="135"/>
      <c r="I7" s="135">
        <v>122</v>
      </c>
      <c r="J7" s="135">
        <v>12</v>
      </c>
      <c r="K7" s="135"/>
      <c r="L7" s="135"/>
    </row>
    <row r="8" spans="1:12" s="52" customFormat="1" ht="15" customHeight="1">
      <c r="A8" s="76" t="s">
        <v>418</v>
      </c>
      <c r="B8" s="147" t="s">
        <v>208</v>
      </c>
      <c r="C8" s="54"/>
      <c r="D8" s="54" t="s">
        <v>33</v>
      </c>
      <c r="E8" s="3" t="s">
        <v>93</v>
      </c>
      <c r="F8" s="3"/>
      <c r="G8" s="3"/>
      <c r="H8" s="136"/>
      <c r="I8" s="136">
        <v>3310</v>
      </c>
      <c r="J8" s="136"/>
      <c r="K8" s="136"/>
      <c r="L8" s="136"/>
    </row>
    <row r="9" spans="1:12" s="52" customFormat="1" ht="15" customHeight="1">
      <c r="A9" s="76" t="s">
        <v>418</v>
      </c>
      <c r="B9" s="147" t="s">
        <v>229</v>
      </c>
      <c r="C9" s="54"/>
      <c r="D9" s="54" t="s">
        <v>33</v>
      </c>
      <c r="E9" s="3" t="s">
        <v>93</v>
      </c>
      <c r="F9" s="3"/>
      <c r="G9" s="3"/>
      <c r="H9" s="136"/>
      <c r="I9" s="136"/>
      <c r="J9" s="136">
        <v>10</v>
      </c>
      <c r="K9" s="136"/>
      <c r="L9" s="136"/>
    </row>
    <row r="10" spans="1:12" s="52" customFormat="1" ht="15" customHeight="1">
      <c r="A10" s="76" t="s">
        <v>418</v>
      </c>
      <c r="B10" s="147" t="s">
        <v>255</v>
      </c>
      <c r="C10" s="54"/>
      <c r="D10" s="54" t="s">
        <v>33</v>
      </c>
      <c r="E10" s="3" t="s">
        <v>93</v>
      </c>
      <c r="F10" s="3"/>
      <c r="G10" s="3"/>
      <c r="H10" s="136"/>
      <c r="I10" s="136"/>
      <c r="J10" s="136">
        <v>9</v>
      </c>
      <c r="K10" s="136"/>
      <c r="L10" s="136"/>
    </row>
    <row r="11" spans="1:12" s="52" customFormat="1" ht="15" customHeight="1">
      <c r="A11" s="76" t="s">
        <v>418</v>
      </c>
      <c r="B11" s="147" t="s">
        <v>275</v>
      </c>
      <c r="C11" s="54"/>
      <c r="D11" s="54" t="s">
        <v>33</v>
      </c>
      <c r="E11" s="3" t="s">
        <v>93</v>
      </c>
      <c r="F11" s="3"/>
      <c r="G11" s="3"/>
      <c r="H11" s="136"/>
      <c r="I11" s="136"/>
      <c r="J11" s="136">
        <v>1</v>
      </c>
      <c r="K11" s="136"/>
      <c r="L11" s="136"/>
    </row>
    <row r="12" spans="1:12" s="52" customFormat="1" ht="15" customHeight="1">
      <c r="A12" s="76" t="s">
        <v>418</v>
      </c>
      <c r="B12" s="147" t="s">
        <v>277</v>
      </c>
      <c r="C12" s="56"/>
      <c r="D12" s="54" t="s">
        <v>33</v>
      </c>
      <c r="E12" s="3" t="s">
        <v>93</v>
      </c>
      <c r="F12" s="3"/>
      <c r="G12" s="3"/>
      <c r="H12" s="135"/>
      <c r="I12" s="135"/>
      <c r="J12" s="135">
        <v>2</v>
      </c>
      <c r="K12" s="135"/>
      <c r="L12" s="135"/>
    </row>
    <row r="13" spans="1:12" s="52" customFormat="1" ht="15" customHeight="1">
      <c r="A13" s="76" t="s">
        <v>418</v>
      </c>
      <c r="B13" s="147" t="s">
        <v>291</v>
      </c>
      <c r="C13" s="54"/>
      <c r="D13" s="54" t="s">
        <v>33</v>
      </c>
      <c r="E13" s="3" t="s">
        <v>93</v>
      </c>
      <c r="F13" s="3"/>
      <c r="G13" s="3"/>
      <c r="H13" s="136"/>
      <c r="I13" s="136">
        <v>318</v>
      </c>
      <c r="J13" s="136">
        <v>3</v>
      </c>
      <c r="K13" s="54"/>
      <c r="L13" s="54" t="s">
        <v>292</v>
      </c>
    </row>
    <row r="14" spans="1:12" s="52" customFormat="1" ht="15" customHeight="1">
      <c r="A14" s="76" t="s">
        <v>418</v>
      </c>
      <c r="B14" s="147" t="s">
        <v>300</v>
      </c>
      <c r="C14" s="54"/>
      <c r="D14" s="54" t="s">
        <v>33</v>
      </c>
      <c r="E14" s="3" t="s">
        <v>93</v>
      </c>
      <c r="F14" s="3"/>
      <c r="G14" s="3"/>
      <c r="H14" s="136"/>
      <c r="I14" s="136"/>
      <c r="J14" s="136">
        <v>1</v>
      </c>
      <c r="K14" s="54"/>
      <c r="L14" s="54"/>
    </row>
    <row r="15" spans="1:12" s="52" customFormat="1" ht="15" customHeight="1">
      <c r="A15" s="76" t="s">
        <v>418</v>
      </c>
      <c r="B15" s="147" t="s">
        <v>301</v>
      </c>
      <c r="C15" s="56"/>
      <c r="D15" s="54" t="s">
        <v>33</v>
      </c>
      <c r="E15" s="3" t="s">
        <v>93</v>
      </c>
      <c r="F15" s="3"/>
      <c r="G15" s="3"/>
      <c r="H15" s="135"/>
      <c r="I15" s="135"/>
      <c r="J15" s="135">
        <v>2</v>
      </c>
      <c r="K15" s="135"/>
      <c r="L15" s="135"/>
    </row>
    <row r="16" spans="1:12" s="52" customFormat="1" ht="15" customHeight="1">
      <c r="A16" s="76" t="s">
        <v>418</v>
      </c>
      <c r="B16" s="147" t="s">
        <v>304</v>
      </c>
      <c r="C16" s="56"/>
      <c r="D16" s="54" t="s">
        <v>33</v>
      </c>
      <c r="E16" s="3" t="s">
        <v>93</v>
      </c>
      <c r="F16" s="3"/>
      <c r="G16" s="3"/>
      <c r="H16" s="135"/>
      <c r="I16" s="135"/>
      <c r="J16" s="135">
        <v>18</v>
      </c>
      <c r="K16" s="135"/>
      <c r="L16" s="135"/>
    </row>
    <row r="17" spans="1:12" s="52" customFormat="1" ht="15" customHeight="1">
      <c r="A17" s="76" t="s">
        <v>418</v>
      </c>
      <c r="B17" s="147" t="s">
        <v>332</v>
      </c>
      <c r="C17" s="54"/>
      <c r="D17" s="54" t="s">
        <v>33</v>
      </c>
      <c r="E17" s="3" t="s">
        <v>93</v>
      </c>
      <c r="F17" s="3"/>
      <c r="G17" s="3"/>
      <c r="H17" s="136"/>
      <c r="I17" s="136"/>
      <c r="J17" s="136">
        <v>15</v>
      </c>
      <c r="K17" s="54"/>
      <c r="L17" s="54"/>
    </row>
    <row r="18" spans="1:12" s="52" customFormat="1" ht="15" customHeight="1">
      <c r="A18" s="76" t="s">
        <v>418</v>
      </c>
      <c r="B18" s="147" t="s">
        <v>353</v>
      </c>
      <c r="C18" s="56"/>
      <c r="D18" s="54" t="s">
        <v>33</v>
      </c>
      <c r="E18" s="3" t="s">
        <v>93</v>
      </c>
      <c r="F18" s="3"/>
      <c r="G18" s="3"/>
      <c r="H18" s="135"/>
      <c r="I18" s="135"/>
      <c r="J18" s="135">
        <v>11</v>
      </c>
      <c r="K18" s="135"/>
      <c r="L18" s="135"/>
    </row>
    <row r="19" spans="1:12" s="52" customFormat="1" ht="15" customHeight="1">
      <c r="A19" s="76" t="s">
        <v>418</v>
      </c>
      <c r="B19" s="147" t="s">
        <v>372</v>
      </c>
      <c r="C19" s="56"/>
      <c r="D19" s="54" t="s">
        <v>33</v>
      </c>
      <c r="E19" s="3" t="s">
        <v>93</v>
      </c>
      <c r="F19" s="3"/>
      <c r="G19" s="3"/>
      <c r="H19" s="135"/>
      <c r="I19" s="135"/>
      <c r="J19" s="135">
        <v>10</v>
      </c>
      <c r="K19" s="135"/>
      <c r="L19" s="135"/>
    </row>
    <row r="20" spans="1:12" s="52" customFormat="1" ht="15" customHeight="1">
      <c r="A20" s="76" t="s">
        <v>418</v>
      </c>
      <c r="B20" s="147" t="s">
        <v>406</v>
      </c>
      <c r="C20" s="56"/>
      <c r="D20" s="54" t="s">
        <v>33</v>
      </c>
      <c r="E20" s="3" t="s">
        <v>93</v>
      </c>
      <c r="F20" s="3"/>
      <c r="G20" s="3"/>
      <c r="H20" s="135"/>
      <c r="I20" s="135"/>
      <c r="J20" s="135">
        <v>6</v>
      </c>
      <c r="K20" s="135"/>
      <c r="L20" s="135"/>
    </row>
    <row r="21" spans="1:12" s="52" customFormat="1" ht="15" customHeight="1">
      <c r="A21" s="76" t="s">
        <v>469</v>
      </c>
      <c r="B21" s="147" t="s">
        <v>467</v>
      </c>
      <c r="C21" s="3"/>
      <c r="D21" s="54" t="s">
        <v>500</v>
      </c>
      <c r="E21" s="3"/>
      <c r="F21" s="3" t="s">
        <v>553</v>
      </c>
      <c r="G21" s="3" t="s">
        <v>554</v>
      </c>
      <c r="H21" s="3" t="s">
        <v>564</v>
      </c>
      <c r="I21" s="75"/>
      <c r="J21" s="13">
        <v>1</v>
      </c>
      <c r="K21" s="3"/>
      <c r="L21" s="3"/>
    </row>
    <row r="22" spans="1:12" s="52" customFormat="1" ht="15" customHeight="1">
      <c r="A22" s="76" t="s">
        <v>469</v>
      </c>
      <c r="B22" s="147" t="s">
        <v>467</v>
      </c>
      <c r="C22" s="3"/>
      <c r="D22" s="54" t="s">
        <v>501</v>
      </c>
      <c r="E22" s="3"/>
      <c r="F22" s="3" t="s">
        <v>553</v>
      </c>
      <c r="G22" s="3" t="s">
        <v>555</v>
      </c>
      <c r="H22" s="3" t="s">
        <v>565</v>
      </c>
      <c r="I22" s="75"/>
      <c r="J22" s="13">
        <v>1</v>
      </c>
      <c r="K22" s="3"/>
      <c r="L22" s="3"/>
    </row>
    <row r="23" spans="1:12" s="52" customFormat="1" ht="15" customHeight="1">
      <c r="A23" s="76" t="s">
        <v>469</v>
      </c>
      <c r="B23" s="147" t="s">
        <v>467</v>
      </c>
      <c r="C23" s="3"/>
      <c r="D23" s="54" t="s">
        <v>501</v>
      </c>
      <c r="E23" s="3"/>
      <c r="F23" s="3" t="s">
        <v>553</v>
      </c>
      <c r="G23" s="3" t="s">
        <v>555</v>
      </c>
      <c r="H23" s="3" t="s">
        <v>565</v>
      </c>
      <c r="I23" s="75"/>
      <c r="J23" s="13">
        <v>1</v>
      </c>
      <c r="K23" s="3"/>
      <c r="L23" s="3"/>
    </row>
    <row r="24" spans="1:12" s="52" customFormat="1" ht="16.5">
      <c r="A24" s="76" t="s">
        <v>469</v>
      </c>
      <c r="B24" s="147" t="s">
        <v>467</v>
      </c>
      <c r="C24" s="3"/>
      <c r="D24" s="54" t="s">
        <v>501</v>
      </c>
      <c r="E24" s="3"/>
      <c r="F24" s="3" t="s">
        <v>553</v>
      </c>
      <c r="G24" s="3" t="s">
        <v>555</v>
      </c>
      <c r="H24" s="3" t="s">
        <v>565</v>
      </c>
      <c r="I24" s="75"/>
      <c r="J24" s="13">
        <v>1</v>
      </c>
      <c r="K24" s="3"/>
      <c r="L24" s="3"/>
    </row>
    <row r="25" spans="1:12" s="52" customFormat="1" ht="16.5">
      <c r="A25" s="76" t="s">
        <v>469</v>
      </c>
      <c r="B25" s="147" t="s">
        <v>467</v>
      </c>
      <c r="C25" s="3"/>
      <c r="D25" s="54" t="s">
        <v>501</v>
      </c>
      <c r="E25" s="3"/>
      <c r="F25" s="3" t="s">
        <v>553</v>
      </c>
      <c r="G25" s="3" t="s">
        <v>555</v>
      </c>
      <c r="H25" s="3" t="s">
        <v>565</v>
      </c>
      <c r="I25" s="75"/>
      <c r="J25" s="13">
        <v>1</v>
      </c>
      <c r="K25" s="3"/>
      <c r="L25" s="3"/>
    </row>
    <row r="26" spans="1:12" s="52" customFormat="1" ht="16.5">
      <c r="A26" s="76" t="s">
        <v>469</v>
      </c>
      <c r="B26" s="147" t="s">
        <v>467</v>
      </c>
      <c r="C26" s="3"/>
      <c r="D26" s="54" t="s">
        <v>502</v>
      </c>
      <c r="E26" s="3"/>
      <c r="F26" s="3" t="s">
        <v>553</v>
      </c>
      <c r="G26" s="3" t="s">
        <v>555</v>
      </c>
      <c r="H26" s="3" t="s">
        <v>565</v>
      </c>
      <c r="I26" s="75"/>
      <c r="J26" s="13">
        <v>1</v>
      </c>
      <c r="K26" s="3"/>
      <c r="L26" s="3"/>
    </row>
    <row r="27" spans="1:12" s="52" customFormat="1" ht="16.5">
      <c r="A27" s="76" t="s">
        <v>469</v>
      </c>
      <c r="B27" s="147" t="s">
        <v>467</v>
      </c>
      <c r="C27" s="3"/>
      <c r="D27" s="54" t="s">
        <v>503</v>
      </c>
      <c r="E27" s="3"/>
      <c r="F27" s="3" t="s">
        <v>553</v>
      </c>
      <c r="G27" s="3" t="s">
        <v>556</v>
      </c>
      <c r="H27" s="3" t="s">
        <v>566</v>
      </c>
      <c r="I27" s="75"/>
      <c r="J27" s="13">
        <v>1</v>
      </c>
      <c r="K27" s="3"/>
      <c r="L27" s="3"/>
    </row>
    <row r="28" spans="1:12" s="52" customFormat="1" ht="16.5">
      <c r="A28" s="76" t="s">
        <v>469</v>
      </c>
      <c r="B28" s="147" t="s">
        <v>467</v>
      </c>
      <c r="C28" s="3"/>
      <c r="D28" s="54" t="s">
        <v>504</v>
      </c>
      <c r="E28" s="3"/>
      <c r="F28" s="3" t="s">
        <v>553</v>
      </c>
      <c r="G28" s="3" t="s">
        <v>557</v>
      </c>
      <c r="H28" s="3" t="s">
        <v>567</v>
      </c>
      <c r="I28" s="75"/>
      <c r="J28" s="13">
        <v>1</v>
      </c>
      <c r="K28" s="3"/>
      <c r="L28" s="3"/>
    </row>
    <row r="29" spans="1:12" s="52" customFormat="1" ht="16.5">
      <c r="A29" s="76" t="s">
        <v>469</v>
      </c>
      <c r="B29" s="147" t="s">
        <v>467</v>
      </c>
      <c r="C29" s="3"/>
      <c r="D29" s="54" t="s">
        <v>505</v>
      </c>
      <c r="E29" s="3"/>
      <c r="F29" s="3" t="s">
        <v>553</v>
      </c>
      <c r="G29" s="3" t="s">
        <v>554</v>
      </c>
      <c r="H29" s="3" t="s">
        <v>568</v>
      </c>
      <c r="I29" s="75"/>
      <c r="J29" s="13">
        <v>1</v>
      </c>
      <c r="K29" s="3"/>
      <c r="L29" s="3"/>
    </row>
    <row r="30" spans="1:12" s="52" customFormat="1" ht="16.5">
      <c r="A30" s="76" t="s">
        <v>469</v>
      </c>
      <c r="B30" s="147" t="s">
        <v>467</v>
      </c>
      <c r="C30" s="3"/>
      <c r="D30" s="54" t="s">
        <v>506</v>
      </c>
      <c r="E30" s="3"/>
      <c r="F30" s="3" t="s">
        <v>553</v>
      </c>
      <c r="G30" s="3" t="s">
        <v>558</v>
      </c>
      <c r="H30" s="3" t="s">
        <v>56</v>
      </c>
      <c r="I30" s="75"/>
      <c r="J30" s="13">
        <v>1</v>
      </c>
      <c r="K30" s="3"/>
      <c r="L30" s="3"/>
    </row>
    <row r="31" spans="1:12" s="52" customFormat="1" ht="16.5">
      <c r="A31" s="76" t="s">
        <v>469</v>
      </c>
      <c r="B31" s="147" t="s">
        <v>468</v>
      </c>
      <c r="C31" s="3"/>
      <c r="D31" s="54" t="s">
        <v>163</v>
      </c>
      <c r="E31" s="3"/>
      <c r="F31" s="3"/>
      <c r="G31" s="3"/>
      <c r="H31" s="3" t="s">
        <v>569</v>
      </c>
      <c r="I31" s="75"/>
      <c r="J31" s="13">
        <v>1</v>
      </c>
      <c r="K31" s="3"/>
      <c r="L31" s="3"/>
    </row>
    <row r="32" spans="1:12" s="52" customFormat="1" ht="16.5">
      <c r="A32" s="76" t="s">
        <v>469</v>
      </c>
      <c r="B32" s="147" t="s">
        <v>468</v>
      </c>
      <c r="C32" s="3"/>
      <c r="D32" s="54" t="s">
        <v>544</v>
      </c>
      <c r="E32" s="3"/>
      <c r="F32" s="3"/>
      <c r="G32" s="3"/>
      <c r="H32" s="3" t="s">
        <v>570</v>
      </c>
      <c r="I32" s="75"/>
      <c r="J32" s="13">
        <v>1</v>
      </c>
      <c r="K32" s="3"/>
      <c r="L32" s="3"/>
    </row>
    <row r="33" spans="1:12" s="52" customFormat="1" ht="16.5">
      <c r="A33" s="76" t="s">
        <v>469</v>
      </c>
      <c r="B33" s="147" t="s">
        <v>468</v>
      </c>
      <c r="C33" s="2"/>
      <c r="D33" s="54" t="s">
        <v>545</v>
      </c>
      <c r="E33" s="2"/>
      <c r="F33" s="2"/>
      <c r="G33" s="2"/>
      <c r="H33" s="2" t="s">
        <v>570</v>
      </c>
      <c r="I33" s="163"/>
      <c r="J33" s="17">
        <v>1</v>
      </c>
      <c r="K33" s="2"/>
      <c r="L33" s="2"/>
    </row>
    <row r="34" spans="1:12" s="52" customFormat="1" ht="16.5">
      <c r="A34" s="76" t="s">
        <v>469</v>
      </c>
      <c r="B34" s="147" t="s">
        <v>468</v>
      </c>
      <c r="C34" s="2"/>
      <c r="D34" s="54" t="s">
        <v>546</v>
      </c>
      <c r="E34" s="2"/>
      <c r="F34" s="2"/>
      <c r="G34" s="2"/>
      <c r="H34" s="2" t="s">
        <v>571</v>
      </c>
      <c r="I34" s="163"/>
      <c r="J34" s="17">
        <v>1</v>
      </c>
      <c r="K34" s="2"/>
      <c r="L34" s="2"/>
    </row>
    <row r="35" spans="1:12" s="52" customFormat="1" ht="16.5">
      <c r="A35" s="17" t="s">
        <v>32</v>
      </c>
      <c r="B35" s="147" t="s">
        <v>19</v>
      </c>
      <c r="C35" s="35"/>
      <c r="D35" s="54" t="s">
        <v>34</v>
      </c>
      <c r="E35" s="36"/>
      <c r="F35" s="36"/>
      <c r="G35" s="36"/>
      <c r="H35" s="36"/>
      <c r="I35" s="147">
        <v>155</v>
      </c>
      <c r="J35" s="147">
        <v>38</v>
      </c>
      <c r="K35" s="17"/>
      <c r="L35" s="17"/>
    </row>
    <row r="36" spans="1:12" s="52" customFormat="1" ht="16.5">
      <c r="A36" s="17" t="s">
        <v>31</v>
      </c>
      <c r="B36" s="147" t="s">
        <v>36</v>
      </c>
      <c r="C36" s="35"/>
      <c r="D36" s="54" t="s">
        <v>33</v>
      </c>
      <c r="E36" s="36"/>
      <c r="F36" s="36"/>
      <c r="G36" s="36"/>
      <c r="H36" s="36"/>
      <c r="I36" s="147">
        <v>1170</v>
      </c>
      <c r="J36" s="147">
        <v>9</v>
      </c>
      <c r="K36" s="17"/>
      <c r="L36" s="17"/>
    </row>
    <row r="37" spans="1:12" s="52" customFormat="1" ht="16.5">
      <c r="A37" s="17" t="s">
        <v>31</v>
      </c>
      <c r="B37" s="147" t="s">
        <v>41</v>
      </c>
      <c r="C37" s="165"/>
      <c r="D37" s="54" t="s">
        <v>34</v>
      </c>
      <c r="E37" s="89"/>
      <c r="F37" s="89"/>
      <c r="G37" s="89"/>
      <c r="H37" s="89"/>
      <c r="I37" s="90">
        <v>950</v>
      </c>
      <c r="J37" s="90">
        <f>1+2+1+5+1+1+3</f>
        <v>14</v>
      </c>
      <c r="K37" s="2"/>
      <c r="L37" s="2"/>
    </row>
    <row r="38" spans="1:12" s="52" customFormat="1" ht="16.5">
      <c r="A38" s="17" t="s">
        <v>31</v>
      </c>
      <c r="B38" s="147" t="s">
        <v>51</v>
      </c>
      <c r="C38" s="165"/>
      <c r="D38" s="54" t="s">
        <v>34</v>
      </c>
      <c r="E38" s="89"/>
      <c r="F38" s="89"/>
      <c r="G38" s="89"/>
      <c r="H38" s="89"/>
      <c r="I38" s="90">
        <v>645</v>
      </c>
      <c r="J38" s="90">
        <v>10</v>
      </c>
      <c r="K38" s="2"/>
      <c r="L38" s="2"/>
    </row>
    <row r="39" spans="1:12" s="52" customFormat="1" ht="16.5">
      <c r="A39" s="3" t="s">
        <v>744</v>
      </c>
      <c r="B39" s="12" t="s">
        <v>584</v>
      </c>
      <c r="C39" s="75"/>
      <c r="D39" s="54" t="s">
        <v>655</v>
      </c>
      <c r="E39" s="5"/>
      <c r="F39" s="5"/>
      <c r="G39" s="5"/>
      <c r="H39" s="5"/>
      <c r="I39" s="12">
        <v>900</v>
      </c>
      <c r="J39" s="12">
        <v>61</v>
      </c>
      <c r="K39" s="3"/>
      <c r="L39" s="3" t="s">
        <v>785</v>
      </c>
    </row>
    <row r="40" spans="1:12" s="52" customFormat="1" ht="16.5">
      <c r="A40" s="3" t="s">
        <v>744</v>
      </c>
      <c r="B40" s="12" t="s">
        <v>584</v>
      </c>
      <c r="C40" s="12"/>
      <c r="D40" s="54" t="s">
        <v>656</v>
      </c>
      <c r="E40" s="5"/>
      <c r="F40" s="5"/>
      <c r="G40" s="5"/>
      <c r="H40" s="5"/>
      <c r="I40" s="12">
        <v>245</v>
      </c>
      <c r="J40" s="12">
        <v>7</v>
      </c>
      <c r="K40" s="3"/>
      <c r="L40" s="3"/>
    </row>
    <row r="41" spans="1:12" s="52" customFormat="1" ht="16.5">
      <c r="A41" s="3" t="s">
        <v>744</v>
      </c>
      <c r="B41" s="12" t="s">
        <v>584</v>
      </c>
      <c r="C41" s="12"/>
      <c r="D41" s="54" t="s">
        <v>657</v>
      </c>
      <c r="E41" s="5"/>
      <c r="F41" s="5"/>
      <c r="G41" s="5"/>
      <c r="H41" s="5"/>
      <c r="I41" s="12">
        <v>25</v>
      </c>
      <c r="J41" s="12">
        <v>1</v>
      </c>
      <c r="K41" s="3"/>
      <c r="L41" s="3"/>
    </row>
    <row r="42" spans="1:12" s="52" customFormat="1" ht="16.5">
      <c r="A42" s="3" t="s">
        <v>744</v>
      </c>
      <c r="B42" s="12" t="s">
        <v>584</v>
      </c>
      <c r="C42" s="12"/>
      <c r="D42" s="54" t="s">
        <v>658</v>
      </c>
      <c r="E42" s="5"/>
      <c r="F42" s="5"/>
      <c r="G42" s="5"/>
      <c r="H42" s="5"/>
      <c r="I42" s="12">
        <v>15</v>
      </c>
      <c r="J42" s="12">
        <v>8</v>
      </c>
      <c r="K42" s="3"/>
      <c r="L42" s="3"/>
    </row>
    <row r="43" spans="1:12" s="52" customFormat="1" ht="16.5">
      <c r="A43" s="3" t="s">
        <v>744</v>
      </c>
      <c r="B43" s="12" t="s">
        <v>584</v>
      </c>
      <c r="C43" s="12"/>
      <c r="D43" s="54" t="s">
        <v>658</v>
      </c>
      <c r="E43" s="5"/>
      <c r="F43" s="5"/>
      <c r="G43" s="5"/>
      <c r="H43" s="5"/>
      <c r="I43" s="12">
        <v>20</v>
      </c>
      <c r="J43" s="12">
        <v>11</v>
      </c>
      <c r="K43" s="3"/>
      <c r="L43" s="3"/>
    </row>
    <row r="44" spans="1:12" s="52" customFormat="1" ht="16.5">
      <c r="A44" s="3" t="s">
        <v>744</v>
      </c>
      <c r="B44" s="12" t="s">
        <v>584</v>
      </c>
      <c r="C44" s="12"/>
      <c r="D44" s="54" t="s">
        <v>659</v>
      </c>
      <c r="E44" s="5"/>
      <c r="F44" s="5"/>
      <c r="G44" s="5"/>
      <c r="H44" s="5"/>
      <c r="I44" s="133">
        <v>430</v>
      </c>
      <c r="J44" s="12">
        <v>2</v>
      </c>
      <c r="K44" s="3"/>
      <c r="L44" s="3"/>
    </row>
    <row r="45" spans="1:12" s="52" customFormat="1" ht="16.5">
      <c r="A45" s="3" t="s">
        <v>744</v>
      </c>
      <c r="B45" s="12" t="s">
        <v>584</v>
      </c>
      <c r="C45" s="12"/>
      <c r="D45" s="54" t="s">
        <v>660</v>
      </c>
      <c r="E45" s="5"/>
      <c r="F45" s="5"/>
      <c r="G45" s="5"/>
      <c r="H45" s="5"/>
      <c r="I45" s="133">
        <v>50</v>
      </c>
      <c r="J45" s="12">
        <v>3</v>
      </c>
      <c r="K45" s="3"/>
      <c r="L45" s="3"/>
    </row>
    <row r="46" spans="1:12" s="52" customFormat="1" ht="16.5">
      <c r="A46" s="3" t="s">
        <v>744</v>
      </c>
      <c r="B46" s="12" t="s">
        <v>584</v>
      </c>
      <c r="C46" s="12"/>
      <c r="D46" s="54" t="s">
        <v>661</v>
      </c>
      <c r="E46" s="5"/>
      <c r="F46" s="5"/>
      <c r="G46" s="5"/>
      <c r="H46" s="5"/>
      <c r="I46" s="133">
        <v>350</v>
      </c>
      <c r="J46" s="12">
        <v>18</v>
      </c>
      <c r="K46" s="3"/>
      <c r="L46" s="3"/>
    </row>
    <row r="47" spans="1:12" s="52" customFormat="1" ht="16.5">
      <c r="A47" s="3" t="s">
        <v>744</v>
      </c>
      <c r="B47" s="12" t="s">
        <v>608</v>
      </c>
      <c r="C47" s="12"/>
      <c r="D47" s="54" t="s">
        <v>657</v>
      </c>
      <c r="E47" s="5"/>
      <c r="F47" s="5"/>
      <c r="G47" s="5"/>
      <c r="H47" s="5"/>
      <c r="I47" s="12">
        <v>1280</v>
      </c>
      <c r="J47" s="12">
        <v>35</v>
      </c>
      <c r="K47" s="3"/>
      <c r="L47" s="3"/>
    </row>
    <row r="48" spans="1:12" s="52" customFormat="1" ht="16.5">
      <c r="A48" s="3" t="s">
        <v>744</v>
      </c>
      <c r="B48" s="12" t="s">
        <v>608</v>
      </c>
      <c r="C48" s="12"/>
      <c r="D48" s="54" t="s">
        <v>659</v>
      </c>
      <c r="E48" s="5"/>
      <c r="F48" s="5"/>
      <c r="G48" s="5"/>
      <c r="H48" s="5"/>
      <c r="I48" s="12">
        <v>170</v>
      </c>
      <c r="J48" s="12">
        <v>2</v>
      </c>
      <c r="K48" s="3"/>
      <c r="L48" s="3"/>
    </row>
    <row r="49" spans="1:12" s="52" customFormat="1" ht="16.5">
      <c r="A49" s="3" t="s">
        <v>744</v>
      </c>
      <c r="B49" s="12" t="s">
        <v>608</v>
      </c>
      <c r="C49" s="12"/>
      <c r="D49" s="54" t="s">
        <v>662</v>
      </c>
      <c r="E49" s="5"/>
      <c r="F49" s="5"/>
      <c r="G49" s="5"/>
      <c r="H49" s="5"/>
      <c r="I49" s="12">
        <v>65</v>
      </c>
      <c r="J49" s="12">
        <v>2</v>
      </c>
      <c r="K49" s="3"/>
      <c r="L49" s="3"/>
    </row>
    <row r="50" spans="1:12" s="52" customFormat="1" ht="16.5">
      <c r="A50" s="3" t="s">
        <v>744</v>
      </c>
      <c r="B50" s="12" t="s">
        <v>608</v>
      </c>
      <c r="C50" s="12"/>
      <c r="D50" s="54" t="s">
        <v>661</v>
      </c>
      <c r="E50" s="5"/>
      <c r="F50" s="5"/>
      <c r="G50" s="5"/>
      <c r="H50" s="5"/>
      <c r="I50" s="12">
        <v>415</v>
      </c>
      <c r="J50" s="12">
        <v>29</v>
      </c>
      <c r="K50" s="3"/>
      <c r="L50" s="3"/>
    </row>
    <row r="51" spans="1:12" s="52" customFormat="1" ht="16.5">
      <c r="A51" s="3" t="s">
        <v>744</v>
      </c>
      <c r="B51" s="12" t="s">
        <v>608</v>
      </c>
      <c r="C51" s="12"/>
      <c r="D51" s="54" t="s">
        <v>663</v>
      </c>
      <c r="E51" s="5"/>
      <c r="F51" s="5"/>
      <c r="G51" s="5"/>
      <c r="H51" s="5"/>
      <c r="I51" s="12">
        <v>930</v>
      </c>
      <c r="J51" s="12">
        <v>52</v>
      </c>
      <c r="K51" s="3"/>
      <c r="L51" s="3"/>
    </row>
    <row r="52" spans="1:12" s="52" customFormat="1" ht="16.5">
      <c r="A52" s="3" t="s">
        <v>744</v>
      </c>
      <c r="B52" s="12" t="s">
        <v>609</v>
      </c>
      <c r="C52" s="12"/>
      <c r="D52" s="54" t="s">
        <v>664</v>
      </c>
      <c r="E52" s="5"/>
      <c r="F52" s="5"/>
      <c r="G52" s="5"/>
      <c r="H52" s="5"/>
      <c r="I52" s="12">
        <v>750</v>
      </c>
      <c r="J52" s="12">
        <v>2</v>
      </c>
      <c r="K52" s="3"/>
      <c r="L52" s="3"/>
    </row>
    <row r="53" spans="1:12" s="52" customFormat="1" ht="16.5">
      <c r="A53" s="3" t="s">
        <v>744</v>
      </c>
      <c r="B53" s="12" t="s">
        <v>609</v>
      </c>
      <c r="C53" s="12"/>
      <c r="D53" s="54" t="s">
        <v>665</v>
      </c>
      <c r="E53" s="5"/>
      <c r="F53" s="5"/>
      <c r="G53" s="5"/>
      <c r="H53" s="5"/>
      <c r="I53" s="12">
        <v>50</v>
      </c>
      <c r="J53" s="12">
        <v>1</v>
      </c>
      <c r="K53" s="3"/>
      <c r="L53" s="3"/>
    </row>
    <row r="54" spans="1:12" s="52" customFormat="1" ht="16.5">
      <c r="A54" s="3" t="s">
        <v>744</v>
      </c>
      <c r="B54" s="12" t="s">
        <v>609</v>
      </c>
      <c r="C54" s="12"/>
      <c r="D54" s="54" t="s">
        <v>666</v>
      </c>
      <c r="E54" s="5"/>
      <c r="F54" s="5"/>
      <c r="G54" s="5"/>
      <c r="H54" s="5"/>
      <c r="I54" s="12">
        <v>150</v>
      </c>
      <c r="J54" s="12">
        <v>3</v>
      </c>
      <c r="K54" s="3"/>
      <c r="L54" s="3"/>
    </row>
    <row r="55" spans="1:12" s="52" customFormat="1" ht="16.5">
      <c r="A55" s="3" t="s">
        <v>744</v>
      </c>
      <c r="B55" s="12" t="s">
        <v>609</v>
      </c>
      <c r="C55" s="12"/>
      <c r="D55" s="54" t="s">
        <v>667</v>
      </c>
      <c r="E55" s="5"/>
      <c r="F55" s="5"/>
      <c r="G55" s="5"/>
      <c r="H55" s="5"/>
      <c r="I55" s="12">
        <v>1295</v>
      </c>
      <c r="J55" s="12">
        <v>1</v>
      </c>
      <c r="K55" s="3"/>
      <c r="L55" s="3"/>
    </row>
    <row r="56" spans="1:12" s="52" customFormat="1" ht="16.5">
      <c r="A56" s="3" t="s">
        <v>745</v>
      </c>
      <c r="B56" s="12" t="s">
        <v>649</v>
      </c>
      <c r="C56" s="12"/>
      <c r="D56" s="54" t="s">
        <v>668</v>
      </c>
      <c r="E56" s="5"/>
      <c r="F56" s="5"/>
      <c r="G56" s="5"/>
      <c r="H56" s="5"/>
      <c r="I56" s="12"/>
      <c r="J56" s="12">
        <v>1</v>
      </c>
      <c r="K56" s="3"/>
      <c r="L56" s="3"/>
    </row>
    <row r="57" spans="1:12" s="52" customFormat="1" ht="16.5">
      <c r="A57" s="3" t="s">
        <v>745</v>
      </c>
      <c r="B57" s="12" t="s">
        <v>649</v>
      </c>
      <c r="C57" s="12"/>
      <c r="D57" s="54" t="s">
        <v>669</v>
      </c>
      <c r="E57" s="5"/>
      <c r="F57" s="5"/>
      <c r="G57" s="5"/>
      <c r="H57" s="5"/>
      <c r="I57" s="12"/>
      <c r="J57" s="12">
        <v>1</v>
      </c>
      <c r="K57" s="3"/>
      <c r="L57" s="3"/>
    </row>
    <row r="58" spans="1:12" s="52" customFormat="1" ht="16.5">
      <c r="A58" s="3" t="s">
        <v>745</v>
      </c>
      <c r="B58" s="12" t="s">
        <v>649</v>
      </c>
      <c r="C58" s="12"/>
      <c r="D58" s="54" t="s">
        <v>670</v>
      </c>
      <c r="E58" s="5"/>
      <c r="F58" s="5"/>
      <c r="G58" s="5"/>
      <c r="H58" s="5"/>
      <c r="I58" s="90"/>
      <c r="J58" s="12">
        <v>2</v>
      </c>
      <c r="K58" s="3"/>
      <c r="L58" s="3"/>
    </row>
    <row r="59" spans="1:12" s="52" customFormat="1" ht="16.5">
      <c r="A59" s="3" t="s">
        <v>745</v>
      </c>
      <c r="B59" s="12" t="s">
        <v>572</v>
      </c>
      <c r="C59" s="12"/>
      <c r="D59" s="54" t="s">
        <v>660</v>
      </c>
      <c r="E59" s="5"/>
      <c r="F59" s="5"/>
      <c r="G59" s="5"/>
      <c r="H59" s="5"/>
      <c r="I59" s="12">
        <v>555</v>
      </c>
      <c r="J59" s="12">
        <v>1</v>
      </c>
      <c r="K59" s="3"/>
      <c r="L59" s="3"/>
    </row>
    <row r="60" spans="1:12" s="52" customFormat="1" ht="16.5">
      <c r="A60" s="3" t="s">
        <v>745</v>
      </c>
      <c r="B60" s="12" t="s">
        <v>572</v>
      </c>
      <c r="C60" s="12"/>
      <c r="D60" s="54" t="s">
        <v>671</v>
      </c>
      <c r="E60" s="5"/>
      <c r="F60" s="5"/>
      <c r="G60" s="5"/>
      <c r="H60" s="5"/>
      <c r="I60" s="12">
        <v>10.5</v>
      </c>
      <c r="J60" s="12">
        <v>1</v>
      </c>
      <c r="K60" s="3"/>
      <c r="L60" s="3"/>
    </row>
    <row r="61" spans="1:12" s="52" customFormat="1" ht="16.5">
      <c r="A61" s="3" t="s">
        <v>745</v>
      </c>
      <c r="B61" s="12" t="s">
        <v>614</v>
      </c>
      <c r="C61" s="12"/>
      <c r="D61" s="54" t="s">
        <v>672</v>
      </c>
      <c r="E61" s="5"/>
      <c r="F61" s="5"/>
      <c r="G61" s="5"/>
      <c r="H61" s="5"/>
      <c r="I61" s="12">
        <v>270</v>
      </c>
      <c r="J61" s="12">
        <v>1</v>
      </c>
      <c r="K61" s="3"/>
      <c r="L61" s="3"/>
    </row>
    <row r="62" spans="1:12" s="52" customFormat="1" ht="16.5">
      <c r="A62" s="3" t="s">
        <v>745</v>
      </c>
      <c r="B62" s="12" t="s">
        <v>614</v>
      </c>
      <c r="C62" s="12"/>
      <c r="D62" s="54" t="s">
        <v>673</v>
      </c>
      <c r="E62" s="5"/>
      <c r="F62" s="5"/>
      <c r="G62" s="5"/>
      <c r="H62" s="5"/>
      <c r="I62" s="12">
        <v>2</v>
      </c>
      <c r="J62" s="12">
        <v>1</v>
      </c>
      <c r="K62" s="3"/>
      <c r="L62" s="3"/>
    </row>
    <row r="63" spans="1:12" s="52" customFormat="1" ht="16.5">
      <c r="A63" s="3" t="s">
        <v>745</v>
      </c>
      <c r="B63" s="12" t="s">
        <v>614</v>
      </c>
      <c r="C63" s="12"/>
      <c r="D63" s="54" t="s">
        <v>670</v>
      </c>
      <c r="E63" s="5"/>
      <c r="F63" s="5"/>
      <c r="G63" s="5"/>
      <c r="H63" s="5"/>
      <c r="I63" s="12">
        <v>35</v>
      </c>
      <c r="J63" s="12">
        <v>4</v>
      </c>
      <c r="K63" s="3"/>
      <c r="L63" s="3"/>
    </row>
    <row r="64" spans="1:12" s="52" customFormat="1" ht="16.5">
      <c r="A64" s="3" t="s">
        <v>745</v>
      </c>
      <c r="B64" s="12" t="s">
        <v>577</v>
      </c>
      <c r="C64" s="12"/>
      <c r="D64" s="54" t="s">
        <v>663</v>
      </c>
      <c r="E64" s="5"/>
      <c r="F64" s="5"/>
      <c r="G64" s="5"/>
      <c r="H64" s="5"/>
      <c r="I64" s="12">
        <v>35</v>
      </c>
      <c r="J64" s="12">
        <v>2</v>
      </c>
      <c r="K64" s="3"/>
      <c r="L64" s="3"/>
    </row>
    <row r="65" spans="1:12" s="52" customFormat="1" ht="16.5">
      <c r="A65" s="3" t="s">
        <v>745</v>
      </c>
      <c r="B65" s="12" t="s">
        <v>577</v>
      </c>
      <c r="C65" s="12"/>
      <c r="D65" s="54" t="s">
        <v>670</v>
      </c>
      <c r="E65" s="5"/>
      <c r="F65" s="5"/>
      <c r="G65" s="5"/>
      <c r="H65" s="5"/>
      <c r="I65" s="12" t="s">
        <v>605</v>
      </c>
      <c r="J65" s="12">
        <v>3</v>
      </c>
      <c r="K65" s="3"/>
      <c r="L65" s="3"/>
    </row>
    <row r="66" spans="1:12" s="52" customFormat="1" ht="16.5">
      <c r="A66" s="3" t="s">
        <v>745</v>
      </c>
      <c r="B66" s="12" t="s">
        <v>623</v>
      </c>
      <c r="C66" s="12"/>
      <c r="D66" s="54" t="s">
        <v>674</v>
      </c>
      <c r="E66" s="5"/>
      <c r="F66" s="5"/>
      <c r="G66" s="5"/>
      <c r="H66" s="5"/>
      <c r="I66" s="12" t="s">
        <v>642</v>
      </c>
      <c r="J66" s="12">
        <v>1</v>
      </c>
      <c r="K66" s="3"/>
      <c r="L66" s="3"/>
    </row>
    <row r="67" spans="1:12" s="52" customFormat="1" ht="16.5">
      <c r="A67" s="3" t="s">
        <v>745</v>
      </c>
      <c r="B67" s="12" t="s">
        <v>623</v>
      </c>
      <c r="C67" s="12"/>
      <c r="D67" s="54" t="s">
        <v>675</v>
      </c>
      <c r="E67" s="5"/>
      <c r="F67" s="5"/>
      <c r="G67" s="5"/>
      <c r="H67" s="5"/>
      <c r="I67" s="12" t="s">
        <v>647</v>
      </c>
      <c r="J67" s="12">
        <v>1</v>
      </c>
      <c r="K67" s="3"/>
      <c r="L67" s="3"/>
    </row>
    <row r="68" spans="1:12" s="52" customFormat="1" ht="16.5">
      <c r="A68" s="3" t="s">
        <v>745</v>
      </c>
      <c r="B68" s="12" t="s">
        <v>623</v>
      </c>
      <c r="C68" s="12"/>
      <c r="D68" s="54" t="s">
        <v>660</v>
      </c>
      <c r="E68" s="5"/>
      <c r="F68" s="5"/>
      <c r="G68" s="5"/>
      <c r="H68" s="5"/>
      <c r="I68" s="12">
        <v>1295</v>
      </c>
      <c r="J68" s="12">
        <v>1</v>
      </c>
      <c r="K68" s="3"/>
      <c r="L68" s="3"/>
    </row>
    <row r="69" spans="1:12" s="52" customFormat="1" ht="16.5">
      <c r="A69" s="3" t="s">
        <v>745</v>
      </c>
      <c r="B69" s="12" t="s">
        <v>625</v>
      </c>
      <c r="C69" s="12"/>
      <c r="D69" s="54" t="s">
        <v>661</v>
      </c>
      <c r="E69" s="5"/>
      <c r="F69" s="5"/>
      <c r="G69" s="5"/>
      <c r="H69" s="5"/>
      <c r="I69" s="12">
        <v>45</v>
      </c>
      <c r="J69" s="12">
        <v>1</v>
      </c>
      <c r="K69" s="3"/>
      <c r="L69" s="3"/>
    </row>
    <row r="70" spans="1:12" s="52" customFormat="1" ht="16.5">
      <c r="A70" s="3" t="s">
        <v>745</v>
      </c>
      <c r="B70" s="12" t="s">
        <v>625</v>
      </c>
      <c r="C70" s="12"/>
      <c r="D70" s="54" t="s">
        <v>670</v>
      </c>
      <c r="E70" s="89"/>
      <c r="F70" s="89"/>
      <c r="G70" s="89"/>
      <c r="H70" s="89"/>
      <c r="I70" s="90">
        <v>25</v>
      </c>
      <c r="J70" s="12">
        <v>1</v>
      </c>
      <c r="K70" s="3"/>
      <c r="L70" s="3"/>
    </row>
    <row r="71" spans="1:12" s="52" customFormat="1" ht="16.5">
      <c r="A71" s="3" t="s">
        <v>745</v>
      </c>
      <c r="B71" s="12" t="s">
        <v>581</v>
      </c>
      <c r="C71" s="12"/>
      <c r="D71" s="54" t="s">
        <v>660</v>
      </c>
      <c r="E71" s="89"/>
      <c r="F71" s="89"/>
      <c r="G71" s="89"/>
      <c r="H71" s="89"/>
      <c r="I71" s="90">
        <v>2265</v>
      </c>
      <c r="J71" s="12">
        <v>3</v>
      </c>
      <c r="K71" s="3"/>
      <c r="L71" s="3"/>
    </row>
    <row r="72" spans="1:12" s="52" customFormat="1" ht="16.5">
      <c r="A72" s="3" t="s">
        <v>745</v>
      </c>
      <c r="B72" s="12" t="s">
        <v>581</v>
      </c>
      <c r="C72" s="12"/>
      <c r="D72" s="54" t="s">
        <v>676</v>
      </c>
      <c r="E72" s="89"/>
      <c r="F72" s="89"/>
      <c r="G72" s="89"/>
      <c r="H72" s="89"/>
      <c r="I72" s="90">
        <v>1895</v>
      </c>
      <c r="J72" s="12">
        <v>5</v>
      </c>
      <c r="K72" s="3"/>
      <c r="L72" s="3"/>
    </row>
    <row r="73" spans="1:12" s="52" customFormat="1" ht="16.5">
      <c r="A73" s="3" t="s">
        <v>745</v>
      </c>
      <c r="B73" s="12" t="s">
        <v>581</v>
      </c>
      <c r="C73" s="12"/>
      <c r="D73" s="54" t="s">
        <v>660</v>
      </c>
      <c r="E73" s="89"/>
      <c r="F73" s="89"/>
      <c r="G73" s="89"/>
      <c r="H73" s="89"/>
      <c r="I73" s="90">
        <v>30</v>
      </c>
      <c r="J73" s="12">
        <v>1</v>
      </c>
      <c r="K73" s="3"/>
      <c r="L73" s="3"/>
    </row>
    <row r="74" spans="1:12" s="52" customFormat="1" ht="16.5">
      <c r="A74" s="76"/>
      <c r="B74" s="147"/>
      <c r="C74" s="54"/>
      <c r="D74" s="2"/>
      <c r="E74" s="2"/>
      <c r="F74" s="2"/>
      <c r="G74" s="2"/>
      <c r="H74" s="136"/>
      <c r="I74" s="136"/>
      <c r="J74" s="136"/>
      <c r="K74" s="136"/>
      <c r="L74" s="136"/>
    </row>
    <row r="75" spans="1:12" s="52" customFormat="1" ht="16.5">
      <c r="A75" s="76"/>
      <c r="B75" s="147"/>
      <c r="C75" s="56"/>
      <c r="D75" s="2"/>
      <c r="E75" s="2"/>
      <c r="F75" s="2"/>
      <c r="G75" s="2"/>
      <c r="H75" s="135"/>
      <c r="I75" s="135"/>
      <c r="J75" s="135"/>
      <c r="K75" s="135"/>
      <c r="L75" s="135"/>
    </row>
    <row r="76" spans="1:12" s="52" customFormat="1" ht="16.5">
      <c r="A76" s="76"/>
      <c r="B76" s="147"/>
      <c r="C76" s="54"/>
      <c r="D76" s="2"/>
      <c r="E76" s="2"/>
      <c r="F76" s="2"/>
      <c r="G76" s="2"/>
      <c r="H76" s="136"/>
      <c r="I76" s="136"/>
      <c r="J76" s="136"/>
      <c r="K76" s="136"/>
      <c r="L76" s="136"/>
    </row>
    <row r="77" spans="1:12" s="52" customFormat="1" ht="16.5">
      <c r="A77" s="76"/>
      <c r="B77" s="147"/>
      <c r="C77" s="56"/>
      <c r="D77" s="2"/>
      <c r="E77" s="2"/>
      <c r="F77" s="2"/>
      <c r="G77" s="2"/>
      <c r="H77" s="135"/>
      <c r="I77" s="135"/>
      <c r="J77" s="135"/>
      <c r="K77" s="135"/>
      <c r="L77" s="135"/>
    </row>
    <row r="78" spans="1:12" s="52" customFormat="1" ht="16.5">
      <c r="A78" s="76"/>
      <c r="B78" s="147"/>
      <c r="C78" s="54"/>
      <c r="D78" s="2"/>
      <c r="E78" s="2"/>
      <c r="F78" s="2"/>
      <c r="G78" s="2"/>
      <c r="H78" s="136"/>
      <c r="I78" s="136"/>
      <c r="J78" s="136"/>
      <c r="K78" s="65"/>
      <c r="L78" s="65"/>
    </row>
    <row r="79" spans="1:12" s="52" customFormat="1" ht="16.5">
      <c r="A79" s="76"/>
      <c r="B79" s="147"/>
      <c r="C79" s="56"/>
      <c r="D79" s="2"/>
      <c r="E79" s="2"/>
      <c r="F79" s="2"/>
      <c r="G79" s="2"/>
      <c r="H79" s="135"/>
      <c r="I79" s="135"/>
      <c r="J79" s="135"/>
      <c r="K79" s="135"/>
      <c r="L79" s="135"/>
    </row>
    <row r="80" spans="1:12" s="52" customFormat="1" ht="16.5">
      <c r="A80" s="76"/>
      <c r="B80" s="147"/>
      <c r="C80" s="54"/>
      <c r="D80" s="2"/>
      <c r="E80" s="2"/>
      <c r="F80" s="2"/>
      <c r="G80" s="2"/>
      <c r="H80" s="136"/>
      <c r="I80" s="136"/>
      <c r="J80" s="136"/>
      <c r="K80" s="136"/>
      <c r="L80" s="136"/>
    </row>
    <row r="81" spans="1:12" s="52" customFormat="1" ht="16.5">
      <c r="A81" s="76"/>
      <c r="B81" s="147"/>
      <c r="C81" s="56"/>
      <c r="D81" s="2"/>
      <c r="E81" s="2"/>
      <c r="F81" s="2"/>
      <c r="G81" s="2"/>
      <c r="H81" s="135"/>
      <c r="I81" s="135"/>
      <c r="J81" s="135"/>
      <c r="K81" s="135"/>
      <c r="L81" s="135"/>
    </row>
    <row r="82" spans="1:12" s="52" customFormat="1" ht="16.5">
      <c r="A82" s="76"/>
      <c r="B82" s="147"/>
      <c r="C82" s="54"/>
      <c r="D82" s="2"/>
      <c r="E82" s="2"/>
      <c r="F82" s="2"/>
      <c r="G82" s="2"/>
      <c r="H82" s="136"/>
      <c r="I82" s="136"/>
      <c r="J82" s="136"/>
      <c r="K82" s="136"/>
      <c r="L82" s="136"/>
    </row>
    <row r="83" spans="1:12" s="52" customFormat="1" ht="16.5">
      <c r="A83" s="76"/>
      <c r="B83" s="147"/>
      <c r="C83" s="56"/>
      <c r="D83" s="2"/>
      <c r="E83" s="2"/>
      <c r="F83" s="2"/>
      <c r="G83" s="2"/>
      <c r="H83" s="135"/>
      <c r="I83" s="135"/>
      <c r="J83" s="56"/>
      <c r="K83" s="135"/>
      <c r="L83" s="135"/>
    </row>
    <row r="84" spans="1:12" s="52" customFormat="1" ht="16.5">
      <c r="A84" s="76"/>
      <c r="B84" s="147"/>
      <c r="C84" s="54"/>
      <c r="D84" s="2"/>
      <c r="E84" s="2"/>
      <c r="F84" s="2"/>
      <c r="G84" s="2"/>
      <c r="H84" s="136"/>
      <c r="I84" s="136"/>
      <c r="J84" s="136"/>
      <c r="K84" s="54"/>
      <c r="L84" s="54"/>
    </row>
    <row r="85" spans="1:12" s="52" customFormat="1" ht="16.5">
      <c r="A85" s="76"/>
      <c r="B85" s="147"/>
      <c r="C85" s="56"/>
      <c r="D85" s="2"/>
      <c r="E85" s="2"/>
      <c r="F85" s="2"/>
      <c r="G85" s="2"/>
      <c r="H85" s="135"/>
      <c r="I85" s="135"/>
      <c r="J85" s="135"/>
      <c r="K85" s="56"/>
      <c r="L85" s="56"/>
    </row>
    <row r="86" spans="1:12" s="52" customFormat="1" ht="16.5">
      <c r="A86" s="76"/>
      <c r="B86" s="147"/>
      <c r="C86" s="136"/>
      <c r="D86" s="2"/>
      <c r="E86" s="2"/>
      <c r="F86" s="2"/>
      <c r="G86" s="2"/>
      <c r="H86" s="136"/>
      <c r="I86" s="136"/>
      <c r="J86" s="136"/>
      <c r="K86" s="136"/>
      <c r="L86" s="136"/>
    </row>
    <row r="87" spans="1:12" s="52" customFormat="1" ht="16.5">
      <c r="A87" s="76"/>
      <c r="B87" s="147"/>
      <c r="C87" s="56"/>
      <c r="D87" s="2"/>
      <c r="E87" s="135"/>
      <c r="F87" s="135"/>
      <c r="G87" s="135"/>
      <c r="H87" s="135"/>
      <c r="I87" s="135"/>
      <c r="J87" s="135"/>
      <c r="K87" s="135"/>
      <c r="L87" s="135"/>
    </row>
    <row r="88" spans="1:12" s="52" customFormat="1" ht="16.5">
      <c r="A88" s="76"/>
      <c r="B88" s="147"/>
      <c r="C88" s="54"/>
      <c r="D88" s="2"/>
      <c r="E88" s="135"/>
      <c r="F88" s="135"/>
      <c r="G88" s="135"/>
      <c r="H88" s="136"/>
      <c r="I88" s="136"/>
      <c r="J88" s="136"/>
      <c r="K88" s="136"/>
      <c r="L88" s="136"/>
    </row>
    <row r="89" spans="1:12" s="52" customFormat="1" ht="16.5">
      <c r="A89" s="76"/>
      <c r="B89" s="147"/>
      <c r="C89" s="56"/>
      <c r="D89" s="2"/>
      <c r="E89" s="2"/>
      <c r="F89" s="2"/>
      <c r="G89" s="2"/>
      <c r="H89" s="135"/>
      <c r="I89" s="135"/>
      <c r="J89" s="135"/>
      <c r="K89" s="135"/>
      <c r="L89" s="135"/>
    </row>
    <row r="90" spans="1:12" s="52" customFormat="1" ht="16.5">
      <c r="A90" s="76"/>
      <c r="B90" s="147"/>
      <c r="C90" s="54"/>
      <c r="D90" s="2"/>
      <c r="E90" s="2"/>
      <c r="F90" s="2"/>
      <c r="G90" s="2"/>
      <c r="H90" s="136"/>
      <c r="I90" s="136"/>
      <c r="J90" s="136"/>
      <c r="K90" s="136"/>
      <c r="L90" s="136"/>
    </row>
    <row r="91" spans="1:12" s="52" customFormat="1" ht="16.5">
      <c r="A91" s="76"/>
      <c r="B91" s="147"/>
      <c r="C91" s="56"/>
      <c r="D91" s="2"/>
      <c r="E91" s="2"/>
      <c r="F91" s="2"/>
      <c r="G91" s="2"/>
      <c r="H91" s="135"/>
      <c r="I91" s="135"/>
      <c r="J91" s="135"/>
      <c r="K91" s="135"/>
      <c r="L91" s="135"/>
    </row>
    <row r="92" spans="1:12" s="52" customFormat="1" ht="16.5">
      <c r="A92" s="76"/>
      <c r="B92" s="147"/>
      <c r="C92" s="54"/>
      <c r="D92" s="2"/>
      <c r="E92" s="2"/>
      <c r="F92" s="2"/>
      <c r="G92" s="2"/>
      <c r="H92" s="136"/>
      <c r="I92" s="136"/>
      <c r="J92" s="136"/>
      <c r="K92" s="136"/>
      <c r="L92" s="136"/>
    </row>
    <row r="93" spans="1:12" s="52" customFormat="1" ht="16.5">
      <c r="A93" s="76"/>
      <c r="B93" s="147"/>
      <c r="C93" s="56"/>
      <c r="D93" s="2"/>
      <c r="E93" s="2"/>
      <c r="F93" s="2"/>
      <c r="G93" s="2"/>
      <c r="H93" s="135"/>
      <c r="I93" s="135"/>
      <c r="J93" s="135"/>
      <c r="K93" s="135"/>
      <c r="L93" s="135"/>
    </row>
    <row r="94" spans="1:12" s="52" customFormat="1" ht="16.5">
      <c r="A94" s="76"/>
      <c r="B94" s="147"/>
      <c r="C94" s="54"/>
      <c r="D94" s="2"/>
      <c r="E94" s="2"/>
      <c r="F94" s="2"/>
      <c r="G94" s="2"/>
      <c r="H94" s="136"/>
      <c r="I94" s="136"/>
      <c r="J94" s="136"/>
      <c r="K94" s="136"/>
      <c r="L94" s="136"/>
    </row>
    <row r="95" spans="1:12" s="52" customFormat="1" ht="16.5">
      <c r="A95" s="76"/>
      <c r="B95" s="147"/>
      <c r="C95" s="56"/>
      <c r="D95" s="2"/>
      <c r="E95" s="2"/>
      <c r="F95" s="2"/>
      <c r="G95" s="2"/>
      <c r="H95" s="135"/>
      <c r="I95" s="135"/>
      <c r="J95" s="135"/>
      <c r="K95" s="135"/>
      <c r="L95" s="135"/>
    </row>
    <row r="96" spans="1:12" s="52" customFormat="1" ht="16.5">
      <c r="A96" s="76"/>
      <c r="B96" s="147"/>
      <c r="C96" s="54"/>
      <c r="D96" s="2"/>
      <c r="E96" s="2"/>
      <c r="F96" s="2"/>
      <c r="G96" s="2"/>
      <c r="H96" s="136"/>
      <c r="I96" s="136"/>
      <c r="J96" s="136"/>
      <c r="K96" s="136"/>
      <c r="L96" s="136"/>
    </row>
    <row r="97" spans="1:12" s="52" customFormat="1" ht="16.5">
      <c r="A97" s="76"/>
      <c r="B97" s="147"/>
      <c r="C97" s="56"/>
      <c r="D97" s="136"/>
      <c r="E97" s="2"/>
      <c r="F97" s="2"/>
      <c r="G97" s="2"/>
      <c r="H97" s="190"/>
      <c r="I97" s="190"/>
      <c r="J97" s="135"/>
      <c r="K97" s="135"/>
      <c r="L97" s="135"/>
    </row>
    <row r="98" spans="1:12" s="52" customFormat="1" ht="16.5">
      <c r="A98" s="76"/>
      <c r="B98" s="147"/>
      <c r="C98" s="54"/>
      <c r="D98" s="136"/>
      <c r="E98" s="2"/>
      <c r="F98" s="2"/>
      <c r="G98" s="2"/>
      <c r="H98" s="190"/>
      <c r="I98" s="190"/>
      <c r="J98" s="136"/>
      <c r="K98" s="136"/>
      <c r="L98" s="136"/>
    </row>
    <row r="99" spans="1:12" s="52" customFormat="1" ht="16.5">
      <c r="A99" s="76"/>
      <c r="B99" s="147"/>
      <c r="C99" s="56"/>
      <c r="D99" s="2"/>
      <c r="E99" s="2"/>
      <c r="F99" s="2"/>
      <c r="G99" s="2"/>
      <c r="H99" s="135"/>
      <c r="I99" s="135"/>
      <c r="J99" s="135"/>
      <c r="K99" s="135"/>
      <c r="L99" s="135"/>
    </row>
    <row r="100" spans="1:12" s="52" customFormat="1" ht="16.5">
      <c r="A100" s="76"/>
      <c r="B100" s="147"/>
      <c r="C100" s="54"/>
      <c r="D100" s="2"/>
      <c r="E100" s="2"/>
      <c r="F100" s="2"/>
      <c r="G100" s="2"/>
      <c r="H100" s="136"/>
      <c r="I100" s="136"/>
      <c r="J100" s="136"/>
      <c r="K100" s="136"/>
      <c r="L100" s="136"/>
    </row>
    <row r="101" spans="1:12" s="52" customFormat="1" ht="16.5">
      <c r="A101" s="76"/>
      <c r="B101" s="147"/>
      <c r="C101" s="56"/>
      <c r="D101" s="2"/>
      <c r="E101" s="2"/>
      <c r="F101" s="2"/>
      <c r="G101" s="2"/>
      <c r="H101" s="135"/>
      <c r="I101" s="135"/>
      <c r="J101" s="135"/>
      <c r="K101" s="135"/>
      <c r="L101" s="135"/>
    </row>
    <row r="102" spans="1:12" s="52" customFormat="1" ht="16.5">
      <c r="A102" s="76"/>
      <c r="B102" s="147"/>
      <c r="C102" s="54"/>
      <c r="D102" s="2"/>
      <c r="E102" s="2"/>
      <c r="F102" s="2"/>
      <c r="G102" s="2"/>
      <c r="H102" s="136"/>
      <c r="I102" s="136"/>
      <c r="J102" s="136"/>
      <c r="K102" s="136"/>
      <c r="L102" s="136"/>
    </row>
    <row r="103" spans="1:12" s="52" customFormat="1" ht="16.5">
      <c r="A103" s="76"/>
      <c r="B103" s="147"/>
      <c r="C103" s="56"/>
      <c r="D103" s="2"/>
      <c r="E103" s="2"/>
      <c r="F103" s="2"/>
      <c r="G103" s="2"/>
      <c r="H103" s="135"/>
      <c r="I103" s="135"/>
      <c r="J103" s="135"/>
      <c r="K103" s="135"/>
      <c r="L103" s="135"/>
    </row>
    <row r="104" spans="1:12" s="52" customFormat="1" ht="16.5">
      <c r="A104" s="76"/>
      <c r="B104" s="147"/>
      <c r="C104" s="54"/>
      <c r="D104" s="2"/>
      <c r="E104" s="2"/>
      <c r="F104" s="2"/>
      <c r="G104" s="2"/>
      <c r="H104" s="136"/>
      <c r="I104" s="136"/>
      <c r="J104" s="136"/>
      <c r="K104" s="136"/>
      <c r="L104" s="136"/>
    </row>
    <row r="105" spans="1:12" s="52" customFormat="1" ht="16.5">
      <c r="A105" s="76"/>
      <c r="B105" s="147"/>
      <c r="C105" s="56"/>
      <c r="D105" s="2"/>
      <c r="E105" s="2"/>
      <c r="F105" s="2"/>
      <c r="G105" s="2"/>
      <c r="H105" s="135"/>
      <c r="I105" s="135"/>
      <c r="J105" s="135"/>
      <c r="K105" s="135"/>
      <c r="L105" s="135"/>
    </row>
    <row r="106" spans="1:12" s="52" customFormat="1" ht="16.5">
      <c r="A106" s="76"/>
      <c r="B106" s="147"/>
      <c r="C106" s="54"/>
      <c r="D106" s="2"/>
      <c r="E106" s="2"/>
      <c r="F106" s="2"/>
      <c r="G106" s="2"/>
      <c r="H106" s="136"/>
      <c r="I106" s="136"/>
      <c r="J106" s="136"/>
      <c r="K106" s="136"/>
      <c r="L106" s="136"/>
    </row>
    <row r="107" spans="1:12" s="52" customFormat="1" ht="16.5">
      <c r="A107" s="76"/>
      <c r="B107" s="147"/>
      <c r="C107" s="56"/>
      <c r="D107" s="2"/>
      <c r="E107" s="2"/>
      <c r="F107" s="2"/>
      <c r="G107" s="2"/>
      <c r="H107" s="135"/>
      <c r="I107" s="135"/>
      <c r="J107" s="135"/>
      <c r="K107" s="135"/>
      <c r="L107" s="135"/>
    </row>
    <row r="108" spans="1:12" s="52" customFormat="1" ht="16.5">
      <c r="A108" s="76"/>
      <c r="B108" s="147"/>
      <c r="C108" s="54"/>
      <c r="D108" s="2"/>
      <c r="E108" s="2"/>
      <c r="F108" s="2"/>
      <c r="G108" s="2"/>
      <c r="H108" s="136"/>
      <c r="I108" s="136"/>
      <c r="J108" s="136"/>
      <c r="K108" s="136"/>
      <c r="L108" s="136"/>
    </row>
    <row r="109" spans="1:12" s="52" customFormat="1" ht="16.5">
      <c r="A109" s="76"/>
      <c r="B109" s="147"/>
      <c r="C109" s="56"/>
      <c r="D109" s="2"/>
      <c r="E109" s="2"/>
      <c r="F109" s="2"/>
      <c r="G109" s="2"/>
      <c r="H109" s="135"/>
      <c r="I109" s="135"/>
      <c r="J109" s="135"/>
      <c r="K109" s="135"/>
      <c r="L109" s="135"/>
    </row>
    <row r="110" spans="1:12" s="52" customFormat="1" ht="16.5">
      <c r="A110" s="76"/>
      <c r="B110" s="147"/>
      <c r="C110" s="54"/>
      <c r="D110" s="2"/>
      <c r="E110" s="2"/>
      <c r="F110" s="2"/>
      <c r="G110" s="2"/>
      <c r="H110" s="136"/>
      <c r="I110" s="136"/>
      <c r="J110" s="136"/>
      <c r="K110" s="136"/>
      <c r="L110" s="136"/>
    </row>
    <row r="111" spans="1:12" s="52" customFormat="1" ht="16.5">
      <c r="A111" s="76"/>
      <c r="B111" s="147"/>
      <c r="C111" s="56"/>
      <c r="D111" s="136"/>
      <c r="E111" s="2"/>
      <c r="F111" s="2"/>
      <c r="G111" s="2"/>
      <c r="H111" s="135"/>
      <c r="I111" s="135"/>
      <c r="J111" s="135"/>
      <c r="K111" s="56"/>
      <c r="L111" s="56"/>
    </row>
    <row r="112" spans="1:12" s="52" customFormat="1" ht="16.5">
      <c r="A112" s="76"/>
      <c r="B112" s="147"/>
      <c r="C112" s="54"/>
      <c r="D112" s="2"/>
      <c r="E112" s="2"/>
      <c r="F112" s="2"/>
      <c r="G112" s="2"/>
      <c r="H112" s="136"/>
      <c r="I112" s="136"/>
      <c r="J112" s="136"/>
      <c r="K112" s="136"/>
      <c r="L112" s="136"/>
    </row>
    <row r="113" spans="1:12" s="52" customFormat="1" ht="16.5">
      <c r="A113" s="76"/>
      <c r="B113" s="147"/>
      <c r="C113" s="56"/>
      <c r="D113" s="2"/>
      <c r="E113" s="2"/>
      <c r="F113" s="2"/>
      <c r="G113" s="2"/>
      <c r="H113" s="135"/>
      <c r="I113" s="135"/>
      <c r="J113" s="135"/>
      <c r="K113" s="135"/>
      <c r="L113" s="135"/>
    </row>
    <row r="114" spans="1:12" s="52" customFormat="1" ht="16.5">
      <c r="A114" s="76"/>
      <c r="B114" s="147"/>
      <c r="C114" s="54"/>
      <c r="D114" s="2"/>
      <c r="E114" s="2"/>
      <c r="F114" s="2"/>
      <c r="G114" s="2"/>
      <c r="H114" s="184"/>
      <c r="I114" s="184"/>
      <c r="J114" s="136"/>
      <c r="K114" s="136"/>
      <c r="L114" s="136"/>
    </row>
    <row r="115" spans="1:12" s="52" customFormat="1" ht="16.5">
      <c r="A115" s="76"/>
      <c r="B115" s="147"/>
      <c r="C115" s="56"/>
      <c r="D115" s="2"/>
      <c r="E115" s="2"/>
      <c r="F115" s="2"/>
      <c r="G115" s="2"/>
      <c r="H115" s="184"/>
      <c r="I115" s="184"/>
      <c r="J115" s="135"/>
      <c r="K115" s="135"/>
      <c r="L115" s="135"/>
    </row>
    <row r="116" spans="1:12" s="52" customFormat="1" ht="16.5">
      <c r="A116" s="76"/>
      <c r="B116" s="147"/>
      <c r="C116" s="54"/>
      <c r="D116" s="2"/>
      <c r="E116" s="2"/>
      <c r="F116" s="2"/>
      <c r="G116" s="2"/>
      <c r="H116" s="184"/>
      <c r="I116" s="184"/>
      <c r="J116" s="136"/>
      <c r="K116" s="136"/>
      <c r="L116" s="136"/>
    </row>
    <row r="117" spans="1:12" s="52" customFormat="1" ht="16.5">
      <c r="A117" s="76"/>
      <c r="B117" s="147"/>
      <c r="C117" s="56"/>
      <c r="D117" s="2"/>
      <c r="E117" s="2"/>
      <c r="F117" s="2"/>
      <c r="G117" s="2"/>
      <c r="H117" s="184"/>
      <c r="I117" s="184"/>
      <c r="J117" s="135"/>
      <c r="K117" s="135"/>
      <c r="L117" s="135"/>
    </row>
    <row r="118" spans="1:12" s="52" customFormat="1" ht="16.5">
      <c r="A118" s="76"/>
      <c r="B118" s="147"/>
      <c r="C118" s="54"/>
      <c r="D118" s="2"/>
      <c r="E118" s="2"/>
      <c r="F118" s="2"/>
      <c r="G118" s="2"/>
      <c r="H118" s="184"/>
      <c r="I118" s="184"/>
      <c r="J118" s="136"/>
      <c r="K118" s="136"/>
      <c r="L118" s="136"/>
    </row>
    <row r="119" spans="1:12" s="52" customFormat="1" ht="16.5">
      <c r="A119" s="76"/>
      <c r="B119" s="147"/>
      <c r="C119" s="56"/>
      <c r="D119" s="2"/>
      <c r="E119" s="135"/>
      <c r="F119" s="135"/>
      <c r="G119" s="135"/>
      <c r="H119" s="184"/>
      <c r="I119" s="184"/>
      <c r="J119" s="135"/>
      <c r="K119" s="135"/>
      <c r="L119" s="135"/>
    </row>
    <row r="120" spans="1:12" s="52" customFormat="1" ht="16.5">
      <c r="A120" s="76"/>
      <c r="B120" s="147"/>
      <c r="C120" s="54"/>
      <c r="D120" s="2"/>
      <c r="E120" s="2"/>
      <c r="F120" s="2"/>
      <c r="G120" s="2"/>
      <c r="H120" s="184"/>
      <c r="I120" s="184"/>
      <c r="J120" s="136"/>
      <c r="K120" s="136"/>
      <c r="L120" s="136"/>
    </row>
    <row r="121" spans="1:12" s="52" customFormat="1" ht="16.5">
      <c r="A121" s="76"/>
      <c r="B121" s="147"/>
      <c r="C121" s="56"/>
      <c r="D121" s="2"/>
      <c r="E121" s="2"/>
      <c r="F121" s="2"/>
      <c r="G121" s="2"/>
      <c r="H121" s="135"/>
      <c r="I121" s="135"/>
      <c r="J121" s="135"/>
      <c r="K121" s="135"/>
      <c r="L121" s="135"/>
    </row>
    <row r="122" spans="1:12" s="52" customFormat="1" ht="16.5">
      <c r="A122" s="76"/>
      <c r="B122" s="147"/>
      <c r="C122" s="54"/>
      <c r="D122" s="2"/>
      <c r="E122" s="2"/>
      <c r="F122" s="2"/>
      <c r="G122" s="2"/>
      <c r="H122" s="136"/>
      <c r="I122" s="136"/>
      <c r="J122" s="136"/>
      <c r="K122" s="136"/>
      <c r="L122" s="136"/>
    </row>
    <row r="123" spans="1:12" s="52" customFormat="1" ht="16.5">
      <c r="A123" s="76"/>
      <c r="B123" s="147"/>
      <c r="C123" s="56"/>
      <c r="D123" s="2"/>
      <c r="E123" s="2"/>
      <c r="F123" s="2"/>
      <c r="G123" s="2"/>
      <c r="H123" s="135"/>
      <c r="I123" s="135"/>
      <c r="J123" s="135"/>
      <c r="K123" s="135"/>
      <c r="L123" s="135"/>
    </row>
    <row r="124" spans="1:12" s="52" customFormat="1" ht="16.5">
      <c r="A124" s="76"/>
      <c r="B124" s="147"/>
      <c r="C124" s="54"/>
      <c r="D124" s="2"/>
      <c r="E124" s="2"/>
      <c r="F124" s="2"/>
      <c r="G124" s="2"/>
      <c r="H124" s="136"/>
      <c r="I124" s="136"/>
      <c r="J124" s="136"/>
      <c r="K124" s="136"/>
      <c r="L124" s="136"/>
    </row>
    <row r="125" spans="1:12" s="52" customFormat="1" ht="16.5">
      <c r="A125" s="76"/>
      <c r="B125" s="147"/>
      <c r="C125" s="56"/>
      <c r="D125" s="2"/>
      <c r="E125" s="2"/>
      <c r="F125" s="2"/>
      <c r="G125" s="2"/>
      <c r="H125" s="135"/>
      <c r="I125" s="135"/>
      <c r="J125" s="135"/>
      <c r="K125" s="135"/>
      <c r="L125" s="135"/>
    </row>
    <row r="126" spans="1:12" s="52" customFormat="1" ht="16.5">
      <c r="A126" s="76"/>
      <c r="B126" s="147"/>
      <c r="C126" s="54"/>
      <c r="D126" s="2"/>
      <c r="E126" s="2"/>
      <c r="F126" s="2"/>
      <c r="G126" s="2"/>
      <c r="H126" s="136"/>
      <c r="I126" s="136"/>
      <c r="J126" s="136"/>
      <c r="K126" s="54"/>
      <c r="L126" s="54"/>
    </row>
    <row r="127" spans="1:12" s="52" customFormat="1" ht="16.5">
      <c r="A127" s="76"/>
      <c r="B127" s="147"/>
      <c r="C127" s="56"/>
      <c r="D127" s="2"/>
      <c r="E127" s="2"/>
      <c r="F127" s="2"/>
      <c r="G127" s="2"/>
      <c r="H127" s="135"/>
      <c r="I127" s="135"/>
      <c r="J127" s="56"/>
      <c r="K127" s="135"/>
      <c r="L127" s="135"/>
    </row>
    <row r="128" spans="1:12" s="52" customFormat="1" ht="16.5">
      <c r="A128" s="76"/>
      <c r="B128" s="147"/>
      <c r="C128" s="54"/>
      <c r="D128" s="2"/>
      <c r="E128" s="2"/>
      <c r="F128" s="2"/>
      <c r="G128" s="2"/>
      <c r="H128" s="136"/>
      <c r="I128" s="136"/>
      <c r="J128" s="136"/>
      <c r="K128" s="136"/>
      <c r="L128" s="136"/>
    </row>
    <row r="129" spans="1:12" s="52" customFormat="1" ht="16.5">
      <c r="A129" s="76"/>
      <c r="B129" s="147"/>
      <c r="C129" s="56"/>
      <c r="D129" s="2"/>
      <c r="E129" s="2"/>
      <c r="F129" s="2"/>
      <c r="G129" s="2"/>
      <c r="H129" s="135"/>
      <c r="I129" s="135"/>
      <c r="J129" s="135"/>
      <c r="K129" s="135"/>
      <c r="L129" s="135"/>
    </row>
    <row r="130" spans="1:12" s="52" customFormat="1" ht="16.5">
      <c r="A130" s="76"/>
      <c r="B130" s="147"/>
      <c r="C130" s="54"/>
      <c r="D130" s="2"/>
      <c r="E130" s="2"/>
      <c r="F130" s="2"/>
      <c r="G130" s="2"/>
      <c r="H130" s="136"/>
      <c r="I130" s="136"/>
      <c r="J130" s="136"/>
      <c r="K130" s="54"/>
      <c r="L130" s="54"/>
    </row>
    <row r="131" spans="1:12" s="52" customFormat="1" ht="16.5">
      <c r="A131" s="76"/>
      <c r="B131" s="147"/>
      <c r="C131" s="56"/>
      <c r="D131" s="2"/>
      <c r="E131" s="2"/>
      <c r="F131" s="2"/>
      <c r="G131" s="2"/>
      <c r="H131" s="135"/>
      <c r="I131" s="135"/>
      <c r="J131" s="135"/>
      <c r="K131" s="135"/>
      <c r="L131" s="135"/>
    </row>
    <row r="132" spans="1:12" s="52" customFormat="1" ht="16.5">
      <c r="A132" s="76"/>
      <c r="B132" s="147"/>
      <c r="C132" s="54"/>
      <c r="D132" s="2"/>
      <c r="E132" s="2"/>
      <c r="F132" s="2"/>
      <c r="G132" s="2"/>
      <c r="H132" s="136"/>
      <c r="I132" s="136"/>
      <c r="J132" s="136"/>
      <c r="K132" s="65"/>
      <c r="L132" s="65"/>
    </row>
    <row r="133" spans="1:12" s="52" customFormat="1" ht="16.5">
      <c r="A133" s="76"/>
      <c r="B133" s="147"/>
      <c r="C133" s="56"/>
      <c r="D133" s="2"/>
      <c r="E133" s="2"/>
      <c r="F133" s="2"/>
      <c r="G133" s="2"/>
      <c r="H133" s="135"/>
      <c r="I133" s="135"/>
      <c r="J133" s="135"/>
      <c r="K133" s="135"/>
      <c r="L133" s="135"/>
    </row>
    <row r="134" spans="1:12" s="52" customFormat="1" ht="16.5">
      <c r="A134" s="76"/>
      <c r="B134" s="147"/>
      <c r="C134" s="54"/>
      <c r="D134" s="2"/>
      <c r="E134" s="2"/>
      <c r="F134" s="2"/>
      <c r="G134" s="2"/>
      <c r="H134" s="136"/>
      <c r="I134" s="136"/>
      <c r="J134" s="136"/>
      <c r="K134" s="136"/>
      <c r="L134" s="136"/>
    </row>
    <row r="135" spans="1:12" s="52" customFormat="1" ht="16.5">
      <c r="A135" s="76"/>
      <c r="B135" s="147"/>
      <c r="C135" s="56"/>
      <c r="D135" s="2"/>
      <c r="E135" s="2"/>
      <c r="F135" s="2"/>
      <c r="G135" s="2"/>
      <c r="H135" s="135"/>
      <c r="I135" s="135"/>
      <c r="J135" s="135"/>
      <c r="K135" s="135"/>
      <c r="L135" s="135"/>
    </row>
    <row r="136" spans="1:12" s="52" customFormat="1" ht="16.5">
      <c r="A136" s="76"/>
      <c r="B136" s="147"/>
      <c r="C136" s="54"/>
      <c r="D136" s="2"/>
      <c r="E136" s="2"/>
      <c r="F136" s="2"/>
      <c r="G136" s="2"/>
      <c r="H136" s="136"/>
      <c r="I136" s="136"/>
      <c r="J136" s="136"/>
      <c r="K136" s="136"/>
      <c r="L136" s="136"/>
    </row>
    <row r="137" spans="1:12" s="52" customFormat="1" ht="16.5">
      <c r="A137" s="76"/>
      <c r="B137" s="147"/>
      <c r="C137" s="56"/>
      <c r="D137" s="2"/>
      <c r="E137" s="2"/>
      <c r="F137" s="2"/>
      <c r="G137" s="2"/>
      <c r="H137" s="135"/>
      <c r="I137" s="135"/>
      <c r="J137" s="135"/>
      <c r="K137" s="135"/>
      <c r="L137" s="135"/>
    </row>
    <row r="138" spans="1:12" s="52" customFormat="1" ht="16.5">
      <c r="A138" s="76"/>
      <c r="B138" s="147"/>
      <c r="C138" s="54"/>
      <c r="D138" s="2"/>
      <c r="E138" s="2"/>
      <c r="F138" s="2"/>
      <c r="G138" s="2"/>
      <c r="H138" s="136"/>
      <c r="I138" s="136"/>
      <c r="J138" s="136"/>
      <c r="K138" s="136"/>
      <c r="L138" s="136"/>
    </row>
    <row r="139" spans="1:12" s="52" customFormat="1" ht="16.5">
      <c r="A139" s="76"/>
      <c r="B139" s="147"/>
      <c r="C139" s="56"/>
      <c r="D139" s="2"/>
      <c r="E139" s="2"/>
      <c r="F139" s="2"/>
      <c r="G139" s="2"/>
      <c r="H139" s="135"/>
      <c r="I139" s="135"/>
      <c r="J139" s="135"/>
      <c r="K139" s="56"/>
      <c r="L139" s="56"/>
    </row>
    <row r="140" spans="1:12" s="52" customFormat="1" ht="16.5">
      <c r="A140" s="76"/>
      <c r="B140" s="147"/>
      <c r="C140" s="54"/>
      <c r="D140" s="2"/>
      <c r="E140" s="2"/>
      <c r="F140" s="2"/>
      <c r="G140" s="2"/>
      <c r="H140" s="136"/>
      <c r="I140" s="136"/>
      <c r="J140" s="136"/>
      <c r="K140" s="136"/>
      <c r="L140" s="136"/>
    </row>
    <row r="141" spans="1:12" s="52" customFormat="1" ht="16.5">
      <c r="A141" s="76"/>
      <c r="B141" s="147"/>
      <c r="C141" s="56"/>
      <c r="D141" s="2"/>
      <c r="E141" s="2"/>
      <c r="F141" s="2"/>
      <c r="G141" s="2"/>
      <c r="H141" s="135"/>
      <c r="I141" s="135"/>
      <c r="J141" s="135"/>
      <c r="K141" s="135"/>
      <c r="L141" s="135"/>
    </row>
    <row r="142" spans="1:12" s="52" customFormat="1" ht="16.5">
      <c r="A142" s="76"/>
      <c r="B142" s="147"/>
      <c r="C142" s="54"/>
      <c r="D142" s="2"/>
      <c r="E142" s="2"/>
      <c r="F142" s="2"/>
      <c r="G142" s="2"/>
      <c r="H142" s="136"/>
      <c r="I142" s="136"/>
      <c r="J142" s="136"/>
      <c r="K142" s="136"/>
      <c r="L142" s="136"/>
    </row>
    <row r="143" spans="1:12" s="52" customFormat="1" ht="16.5">
      <c r="A143" s="76"/>
      <c r="B143" s="147"/>
      <c r="C143" s="56"/>
      <c r="D143" s="2"/>
      <c r="E143" s="2"/>
      <c r="F143" s="2"/>
      <c r="G143" s="2"/>
      <c r="H143" s="135"/>
      <c r="I143" s="135"/>
      <c r="J143" s="135"/>
      <c r="K143" s="135"/>
      <c r="L143" s="135"/>
    </row>
    <row r="144" spans="1:12" s="52" customFormat="1" ht="16.5">
      <c r="A144" s="76"/>
      <c r="B144" s="147"/>
      <c r="C144" s="54"/>
      <c r="D144" s="2"/>
      <c r="E144" s="2"/>
      <c r="F144" s="2"/>
      <c r="G144" s="2"/>
      <c r="H144" s="136"/>
      <c r="I144" s="136"/>
      <c r="J144" s="136"/>
      <c r="K144" s="136"/>
      <c r="L144" s="136"/>
    </row>
    <row r="145" spans="1:12" s="52" customFormat="1" ht="16.5">
      <c r="A145" s="76"/>
      <c r="B145" s="147"/>
      <c r="C145" s="56"/>
      <c r="D145" s="2"/>
      <c r="E145" s="2"/>
      <c r="F145" s="2"/>
      <c r="G145" s="2"/>
      <c r="H145" s="135"/>
      <c r="I145" s="135"/>
      <c r="J145" s="135"/>
      <c r="K145" s="56"/>
      <c r="L145" s="56"/>
    </row>
    <row r="146" spans="1:12" s="52" customFormat="1" ht="16.5">
      <c r="A146" s="76"/>
      <c r="B146" s="147"/>
      <c r="C146" s="54"/>
      <c r="D146" s="2"/>
      <c r="E146" s="2"/>
      <c r="F146" s="2"/>
      <c r="G146" s="2"/>
      <c r="H146" s="136"/>
      <c r="I146" s="136"/>
      <c r="J146" s="136"/>
      <c r="K146" s="136"/>
      <c r="L146" s="136"/>
    </row>
    <row r="147" spans="1:12" s="52" customFormat="1" ht="16.5">
      <c r="A147" s="76"/>
      <c r="B147" s="147"/>
      <c r="C147" s="56"/>
      <c r="D147" s="2"/>
      <c r="E147" s="2"/>
      <c r="F147" s="2"/>
      <c r="G147" s="2"/>
      <c r="H147" s="135"/>
      <c r="I147" s="135"/>
      <c r="J147" s="135"/>
      <c r="K147" s="135"/>
      <c r="L147" s="135"/>
    </row>
    <row r="148" spans="1:12" s="52" customFormat="1" ht="16.5">
      <c r="A148" s="76"/>
      <c r="B148" s="147"/>
      <c r="C148" s="54"/>
      <c r="D148" s="2"/>
      <c r="E148" s="2"/>
      <c r="F148" s="2"/>
      <c r="G148" s="2"/>
      <c r="H148" s="136"/>
      <c r="I148" s="136"/>
      <c r="J148" s="136"/>
      <c r="K148" s="136"/>
      <c r="L148" s="136"/>
    </row>
    <row r="149" spans="1:12" s="52" customFormat="1" ht="16.5">
      <c r="A149" s="76"/>
      <c r="B149" s="147"/>
      <c r="C149" s="56"/>
      <c r="D149" s="2"/>
      <c r="E149" s="2"/>
      <c r="F149" s="2"/>
      <c r="G149" s="2"/>
      <c r="H149" s="135"/>
      <c r="I149" s="135"/>
      <c r="J149" s="135"/>
      <c r="K149" s="135"/>
      <c r="L149" s="135"/>
    </row>
    <row r="150" spans="1:12" s="52" customFormat="1" ht="16.5">
      <c r="A150" s="76"/>
      <c r="B150" s="147"/>
      <c r="C150" s="54"/>
      <c r="D150" s="2"/>
      <c r="E150" s="2"/>
      <c r="F150" s="2"/>
      <c r="G150" s="2"/>
      <c r="H150" s="136"/>
      <c r="I150" s="136"/>
      <c r="J150" s="136"/>
      <c r="K150" s="54"/>
      <c r="L150" s="54"/>
    </row>
    <row r="151" spans="1:12" s="52" customFormat="1" ht="16.5">
      <c r="A151" s="76"/>
      <c r="B151" s="147"/>
      <c r="C151" s="56"/>
      <c r="D151" s="136"/>
      <c r="E151" s="2"/>
      <c r="F151" s="2"/>
      <c r="G151" s="2"/>
      <c r="H151" s="180"/>
      <c r="I151" s="180"/>
      <c r="J151" s="135"/>
      <c r="K151" s="56"/>
      <c r="L151" s="56"/>
    </row>
    <row r="152" spans="1:12" s="52" customFormat="1" ht="16.5">
      <c r="A152" s="76"/>
      <c r="B152" s="147"/>
      <c r="C152" s="54"/>
      <c r="D152" s="136"/>
      <c r="E152" s="2"/>
      <c r="F152" s="2"/>
      <c r="G152" s="2"/>
      <c r="H152" s="180"/>
      <c r="I152" s="180"/>
      <c r="J152" s="136"/>
      <c r="K152" s="54"/>
      <c r="L152" s="54"/>
    </row>
    <row r="153" spans="1:12" s="52" customFormat="1" ht="16.5">
      <c r="A153" s="76"/>
      <c r="B153" s="147"/>
      <c r="C153" s="56"/>
      <c r="D153" s="136"/>
      <c r="E153" s="2"/>
      <c r="F153" s="2"/>
      <c r="G153" s="2"/>
      <c r="H153" s="180"/>
      <c r="I153" s="180"/>
      <c r="J153" s="135"/>
      <c r="K153" s="56"/>
      <c r="L153" s="56"/>
    </row>
    <row r="154" spans="1:12" s="52" customFormat="1" ht="16.5">
      <c r="A154" s="76"/>
      <c r="B154" s="147"/>
      <c r="C154" s="54"/>
      <c r="D154" s="136"/>
      <c r="E154" s="2"/>
      <c r="F154" s="2"/>
      <c r="G154" s="2"/>
      <c r="H154" s="180"/>
      <c r="I154" s="180"/>
      <c r="J154" s="136"/>
      <c r="K154" s="54"/>
      <c r="L154" s="54"/>
    </row>
    <row r="155" spans="1:12" s="52" customFormat="1" ht="16.5">
      <c r="A155" s="76"/>
      <c r="B155" s="147"/>
      <c r="C155" s="56"/>
      <c r="D155" s="136"/>
      <c r="E155" s="2"/>
      <c r="F155" s="2"/>
      <c r="G155" s="2"/>
      <c r="H155" s="180"/>
      <c r="I155" s="180"/>
      <c r="J155" s="135"/>
      <c r="K155" s="56"/>
      <c r="L155" s="56"/>
    </row>
    <row r="156" spans="1:12" s="52" customFormat="1" ht="16.5">
      <c r="A156" s="76"/>
      <c r="B156" s="147"/>
      <c r="C156" s="54"/>
      <c r="D156" s="2"/>
      <c r="E156" s="2"/>
      <c r="F156" s="2"/>
      <c r="G156" s="2"/>
      <c r="H156" s="136"/>
      <c r="I156" s="136"/>
      <c r="J156" s="136"/>
      <c r="K156" s="136"/>
      <c r="L156" s="136"/>
    </row>
    <row r="157" spans="1:12" s="52" customFormat="1" ht="16.5">
      <c r="A157" s="76"/>
      <c r="B157" s="147"/>
      <c r="C157" s="68"/>
      <c r="D157" s="2"/>
      <c r="E157" s="2"/>
      <c r="F157" s="2"/>
      <c r="G157" s="2"/>
      <c r="H157" s="136"/>
      <c r="I157" s="136"/>
      <c r="J157" s="135"/>
      <c r="K157" s="136"/>
      <c r="L157" s="136"/>
    </row>
    <row r="158" spans="1:12" s="52" customFormat="1" ht="16.5">
      <c r="A158" s="76"/>
      <c r="B158" s="147"/>
      <c r="C158" s="68"/>
      <c r="D158" s="2"/>
      <c r="E158" s="135"/>
      <c r="F158" s="135"/>
      <c r="G158" s="135"/>
      <c r="H158" s="136"/>
      <c r="I158" s="136"/>
      <c r="J158" s="135"/>
      <c r="K158" s="136"/>
      <c r="L158" s="136"/>
    </row>
    <row r="159" spans="1:12" s="52" customFormat="1" ht="16.5">
      <c r="A159" s="76"/>
      <c r="B159" s="147"/>
      <c r="C159" s="68"/>
      <c r="D159" s="2"/>
      <c r="E159" s="2"/>
      <c r="F159" s="2"/>
      <c r="G159" s="2"/>
      <c r="H159" s="136"/>
      <c r="I159" s="136"/>
      <c r="J159" s="135"/>
      <c r="K159" s="136"/>
      <c r="L159" s="136"/>
    </row>
    <row r="160" spans="1:12" s="52" customFormat="1" ht="16.5">
      <c r="A160" s="76"/>
      <c r="B160" s="147"/>
      <c r="C160" s="68"/>
      <c r="D160" s="2"/>
      <c r="E160" s="2"/>
      <c r="F160" s="2"/>
      <c r="G160" s="2"/>
      <c r="H160" s="136"/>
      <c r="I160" s="136"/>
      <c r="J160" s="135"/>
      <c r="K160" s="136"/>
      <c r="L160" s="136"/>
    </row>
    <row r="161" spans="1:12" s="52" customFormat="1" ht="16.5">
      <c r="A161" s="76"/>
      <c r="B161" s="147"/>
      <c r="C161" s="54"/>
      <c r="D161" s="2"/>
      <c r="E161" s="2"/>
      <c r="F161" s="2"/>
      <c r="G161" s="2"/>
      <c r="H161" s="136"/>
      <c r="I161" s="136"/>
      <c r="J161" s="136"/>
      <c r="K161" s="136"/>
      <c r="L161" s="136"/>
    </row>
    <row r="162" spans="1:12" s="52" customFormat="1" ht="16.5">
      <c r="A162" s="76"/>
      <c r="B162" s="147"/>
      <c r="C162" s="56"/>
      <c r="D162" s="2"/>
      <c r="E162" s="2"/>
      <c r="F162" s="2"/>
      <c r="G162" s="2"/>
      <c r="H162" s="135"/>
      <c r="I162" s="135"/>
      <c r="J162" s="135"/>
      <c r="K162" s="135"/>
      <c r="L162" s="135"/>
    </row>
    <row r="163" spans="1:12" s="52" customFormat="1" ht="16.5">
      <c r="A163" s="76"/>
      <c r="B163" s="147"/>
      <c r="C163" s="54"/>
      <c r="D163" s="2"/>
      <c r="E163" s="2"/>
      <c r="F163" s="2"/>
      <c r="G163" s="2"/>
      <c r="H163" s="136"/>
      <c r="I163" s="136"/>
      <c r="J163" s="136"/>
      <c r="K163" s="136"/>
      <c r="L163" s="136"/>
    </row>
    <row r="164" spans="1:12" s="52" customFormat="1" ht="16.5">
      <c r="A164" s="76"/>
      <c r="B164" s="147"/>
      <c r="C164" s="56"/>
      <c r="D164" s="2"/>
      <c r="E164" s="2"/>
      <c r="F164" s="2"/>
      <c r="G164" s="2"/>
      <c r="H164" s="135"/>
      <c r="I164" s="135"/>
      <c r="J164" s="135"/>
      <c r="K164" s="135"/>
      <c r="L164" s="135"/>
    </row>
    <row r="165" spans="1:12" s="52" customFormat="1" ht="16.5">
      <c r="A165" s="76"/>
      <c r="B165" s="147"/>
      <c r="C165" s="54"/>
      <c r="D165" s="136"/>
      <c r="E165" s="2"/>
      <c r="F165" s="2"/>
      <c r="G165" s="2"/>
      <c r="H165" s="198"/>
      <c r="I165" s="198"/>
      <c r="J165" s="136"/>
      <c r="K165" s="54"/>
      <c r="L165" s="54"/>
    </row>
    <row r="166" spans="1:12" s="52" customFormat="1" ht="16.5">
      <c r="A166" s="76"/>
      <c r="B166" s="147"/>
      <c r="C166" s="56"/>
      <c r="D166" s="136"/>
      <c r="E166" s="2"/>
      <c r="F166" s="2"/>
      <c r="G166" s="2"/>
      <c r="H166" s="198"/>
      <c r="I166" s="198"/>
      <c r="J166" s="135"/>
      <c r="K166" s="56"/>
      <c r="L166" s="56"/>
    </row>
    <row r="167" spans="1:12" s="52" customFormat="1" ht="16.5">
      <c r="A167" s="76"/>
      <c r="B167" s="147"/>
      <c r="C167" s="54"/>
      <c r="D167" s="136"/>
      <c r="E167" s="2"/>
      <c r="F167" s="2"/>
      <c r="G167" s="2"/>
      <c r="H167" s="198"/>
      <c r="I167" s="198"/>
      <c r="J167" s="136"/>
      <c r="K167" s="54"/>
      <c r="L167" s="54"/>
    </row>
    <row r="168" spans="1:12" s="52" customFormat="1" ht="16.5">
      <c r="A168" s="76"/>
      <c r="B168" s="147"/>
      <c r="C168" s="56"/>
      <c r="D168" s="136"/>
      <c r="E168" s="2"/>
      <c r="F168" s="2"/>
      <c r="G168" s="2"/>
      <c r="H168" s="198"/>
      <c r="I168" s="198"/>
      <c r="J168" s="135"/>
      <c r="K168" s="56"/>
      <c r="L168" s="56"/>
    </row>
    <row r="169" spans="1:12" s="52" customFormat="1" ht="16.5">
      <c r="A169" s="76"/>
      <c r="B169" s="147"/>
      <c r="C169" s="54"/>
      <c r="D169" s="136"/>
      <c r="E169" s="2"/>
      <c r="F169" s="2"/>
      <c r="G169" s="2"/>
      <c r="H169" s="198"/>
      <c r="I169" s="198"/>
      <c r="J169" s="136"/>
      <c r="K169" s="54"/>
      <c r="L169" s="54"/>
    </row>
    <row r="170" spans="1:12" s="52" customFormat="1" ht="16.5">
      <c r="A170" s="76"/>
      <c r="B170" s="147"/>
      <c r="C170" s="56"/>
      <c r="D170" s="136"/>
      <c r="E170" s="2"/>
      <c r="F170" s="2"/>
      <c r="G170" s="2"/>
      <c r="H170" s="198"/>
      <c r="I170" s="198"/>
      <c r="J170" s="135"/>
      <c r="K170" s="56"/>
      <c r="L170" s="56"/>
    </row>
    <row r="171" spans="1:12" s="52" customFormat="1" ht="16.5">
      <c r="A171" s="76"/>
      <c r="B171" s="147"/>
      <c r="C171" s="54"/>
      <c r="D171" s="136"/>
      <c r="E171" s="2"/>
      <c r="F171" s="2"/>
      <c r="G171" s="2"/>
      <c r="H171" s="198"/>
      <c r="I171" s="198"/>
      <c r="J171" s="136"/>
      <c r="K171" s="54"/>
      <c r="L171" s="54"/>
    </row>
    <row r="172" spans="1:12" s="52" customFormat="1" ht="16.5">
      <c r="A172" s="76"/>
      <c r="B172" s="147"/>
      <c r="C172" s="56"/>
      <c r="D172" s="2"/>
      <c r="E172" s="2"/>
      <c r="F172" s="2"/>
      <c r="G172" s="2"/>
      <c r="H172" s="135"/>
      <c r="I172" s="135"/>
      <c r="J172" s="135"/>
      <c r="K172" s="135"/>
      <c r="L172" s="135"/>
    </row>
    <row r="173" spans="1:12" s="52" customFormat="1" ht="16.5">
      <c r="A173" s="76"/>
      <c r="B173" s="147"/>
      <c r="C173" s="69"/>
      <c r="D173" s="2"/>
      <c r="E173" s="2"/>
      <c r="F173" s="2"/>
      <c r="G173" s="2"/>
      <c r="H173" s="135"/>
      <c r="I173" s="135"/>
      <c r="J173" s="136"/>
      <c r="K173" s="135"/>
      <c r="L173" s="135"/>
    </row>
    <row r="174" spans="1:12" s="52" customFormat="1" ht="16.5">
      <c r="A174" s="76"/>
      <c r="B174" s="147"/>
      <c r="C174" s="69"/>
      <c r="D174" s="2"/>
      <c r="E174" s="2"/>
      <c r="F174" s="2"/>
      <c r="G174" s="2"/>
      <c r="H174" s="135"/>
      <c r="I174" s="135"/>
      <c r="J174" s="136"/>
      <c r="K174" s="135"/>
      <c r="L174" s="135"/>
    </row>
    <row r="175" spans="1:12" s="52" customFormat="1" ht="16.5">
      <c r="A175" s="76"/>
      <c r="B175" s="147"/>
      <c r="C175" s="69"/>
      <c r="D175" s="2"/>
      <c r="E175" s="2"/>
      <c r="F175" s="2"/>
      <c r="G175" s="2"/>
      <c r="H175" s="135"/>
      <c r="I175" s="135"/>
      <c r="J175" s="136"/>
      <c r="K175" s="135"/>
      <c r="L175" s="135"/>
    </row>
    <row r="176" spans="1:12" s="52" customFormat="1" ht="16.5">
      <c r="A176" s="76"/>
      <c r="B176" s="147"/>
      <c r="C176" s="69"/>
      <c r="D176" s="2"/>
      <c r="E176" s="135"/>
      <c r="F176" s="135"/>
      <c r="G176" s="135"/>
      <c r="H176" s="135"/>
      <c r="I176" s="135"/>
      <c r="J176" s="136"/>
      <c r="K176" s="135"/>
      <c r="L176" s="135"/>
    </row>
    <row r="177" spans="1:12" s="52" customFormat="1" ht="16.5">
      <c r="A177" s="76"/>
      <c r="B177" s="147"/>
      <c r="C177" s="69"/>
      <c r="D177" s="2"/>
      <c r="E177" s="2"/>
      <c r="F177" s="2"/>
      <c r="G177" s="2"/>
      <c r="H177" s="135"/>
      <c r="I177" s="135"/>
      <c r="J177" s="136"/>
      <c r="K177" s="135"/>
      <c r="L177" s="135"/>
    </row>
    <row r="178" spans="1:12" s="52" customFormat="1" ht="16.5">
      <c r="A178" s="76"/>
      <c r="B178" s="147"/>
      <c r="C178" s="56"/>
      <c r="D178" s="2"/>
      <c r="E178" s="2"/>
      <c r="F178" s="2"/>
      <c r="G178" s="2"/>
      <c r="H178" s="135"/>
      <c r="I178" s="135"/>
      <c r="J178" s="135"/>
      <c r="K178" s="135"/>
      <c r="L178" s="135"/>
    </row>
    <row r="179" spans="1:12" s="52" customFormat="1" ht="16.5">
      <c r="A179" s="76"/>
      <c r="B179" s="147"/>
      <c r="C179" s="54"/>
      <c r="D179" s="2"/>
      <c r="E179" s="2"/>
      <c r="F179" s="2"/>
      <c r="G179" s="2"/>
      <c r="H179" s="136"/>
      <c r="I179" s="136"/>
      <c r="J179" s="136"/>
      <c r="K179" s="54"/>
      <c r="L179" s="54"/>
    </row>
    <row r="180" spans="1:12" s="52" customFormat="1" ht="16.5">
      <c r="A180" s="76"/>
      <c r="B180" s="147"/>
      <c r="C180" s="56"/>
      <c r="D180" s="2"/>
      <c r="E180" s="2"/>
      <c r="F180" s="2"/>
      <c r="G180" s="2"/>
      <c r="H180" s="135"/>
      <c r="I180" s="135"/>
      <c r="J180" s="135"/>
      <c r="K180" s="56"/>
      <c r="L180" s="56"/>
    </row>
    <row r="181" spans="1:12" s="52" customFormat="1" ht="16.5">
      <c r="A181" s="76"/>
      <c r="B181" s="147"/>
      <c r="C181" s="54"/>
      <c r="D181" s="2"/>
      <c r="E181" s="2"/>
      <c r="F181" s="2"/>
      <c r="G181" s="2"/>
      <c r="H181" s="136"/>
      <c r="I181" s="136"/>
      <c r="J181" s="136"/>
      <c r="K181" s="136"/>
      <c r="L181" s="136"/>
    </row>
    <row r="182" spans="1:12" s="52" customFormat="1" ht="16.5">
      <c r="A182" s="76"/>
      <c r="B182" s="147"/>
      <c r="C182" s="56"/>
      <c r="D182" s="2"/>
      <c r="E182" s="2"/>
      <c r="F182" s="2"/>
      <c r="G182" s="2"/>
      <c r="H182" s="135"/>
      <c r="I182" s="135"/>
      <c r="J182" s="135"/>
      <c r="K182" s="135"/>
      <c r="L182" s="135"/>
    </row>
    <row r="183" spans="1:12" s="52" customFormat="1" ht="16.5">
      <c r="A183" s="76"/>
      <c r="B183" s="147"/>
      <c r="C183" s="54"/>
      <c r="D183" s="2"/>
      <c r="E183" s="2"/>
      <c r="F183" s="2"/>
      <c r="G183" s="2"/>
      <c r="H183" s="136"/>
      <c r="I183" s="136"/>
      <c r="J183" s="136"/>
      <c r="K183" s="136"/>
      <c r="L183" s="136"/>
    </row>
    <row r="184" spans="1:12" s="52" customFormat="1" ht="16.5">
      <c r="A184" s="76"/>
      <c r="B184" s="147"/>
      <c r="C184" s="56"/>
      <c r="D184" s="2"/>
      <c r="E184" s="2"/>
      <c r="F184" s="2"/>
      <c r="G184" s="2"/>
      <c r="H184" s="135"/>
      <c r="I184" s="135"/>
      <c r="J184" s="135"/>
      <c r="K184" s="135"/>
      <c r="L184" s="135"/>
    </row>
    <row r="185" spans="1:12" s="52" customFormat="1" ht="16.5">
      <c r="A185" s="76"/>
      <c r="B185" s="147"/>
      <c r="C185" s="54"/>
      <c r="D185" s="2"/>
      <c r="E185" s="2"/>
      <c r="F185" s="2"/>
      <c r="G185" s="2"/>
      <c r="H185" s="136"/>
      <c r="I185" s="136"/>
      <c r="J185" s="136"/>
      <c r="K185" s="136"/>
      <c r="L185" s="136"/>
    </row>
    <row r="186" spans="1:12" s="52" customFormat="1" ht="16.5">
      <c r="A186" s="76"/>
      <c r="B186" s="147"/>
      <c r="C186" s="56"/>
      <c r="D186" s="2"/>
      <c r="E186" s="2"/>
      <c r="F186" s="2"/>
      <c r="G186" s="2"/>
      <c r="H186" s="135"/>
      <c r="I186" s="135"/>
      <c r="J186" s="135"/>
      <c r="K186" s="135"/>
      <c r="L186" s="135"/>
    </row>
    <row r="187" spans="1:12" s="52" customFormat="1" ht="16.5">
      <c r="A187" s="76"/>
      <c r="B187" s="147"/>
      <c r="C187" s="54"/>
      <c r="D187" s="2"/>
      <c r="E187" s="2"/>
      <c r="F187" s="2"/>
      <c r="G187" s="2"/>
      <c r="H187" s="136"/>
      <c r="I187" s="136"/>
      <c r="J187" s="136"/>
      <c r="K187" s="136"/>
      <c r="L187" s="136"/>
    </row>
    <row r="188" spans="1:12" s="52" customFormat="1" ht="16.5">
      <c r="A188" s="76"/>
      <c r="B188" s="147"/>
      <c r="C188" s="56"/>
      <c r="D188" s="2"/>
      <c r="E188" s="2"/>
      <c r="F188" s="2"/>
      <c r="G188" s="2"/>
      <c r="H188" s="135"/>
      <c r="I188" s="135"/>
      <c r="J188" s="135"/>
      <c r="K188" s="135"/>
      <c r="L188" s="135"/>
    </row>
    <row r="189" spans="1:12" s="52" customFormat="1" ht="16.5">
      <c r="A189" s="76"/>
      <c r="B189" s="147"/>
      <c r="C189" s="54"/>
      <c r="D189" s="2"/>
      <c r="E189" s="2"/>
      <c r="F189" s="2"/>
      <c r="G189" s="2"/>
      <c r="H189" s="136"/>
      <c r="I189" s="136"/>
      <c r="J189" s="136"/>
      <c r="K189" s="136"/>
      <c r="L189" s="136"/>
    </row>
    <row r="190" spans="1:12" s="52" customFormat="1" ht="16.5">
      <c r="A190" s="76"/>
      <c r="B190" s="147"/>
      <c r="C190" s="56"/>
      <c r="D190" s="2"/>
      <c r="E190" s="2"/>
      <c r="F190" s="2"/>
      <c r="G190" s="2"/>
      <c r="H190" s="135"/>
      <c r="I190" s="135"/>
      <c r="J190" s="135"/>
      <c r="K190" s="135"/>
      <c r="L190" s="135"/>
    </row>
    <row r="191" spans="1:12" s="52" customFormat="1" ht="16.5">
      <c r="A191" s="76"/>
      <c r="B191" s="147"/>
      <c r="C191" s="54"/>
      <c r="D191" s="2"/>
      <c r="E191" s="2"/>
      <c r="F191" s="2"/>
      <c r="G191" s="2"/>
      <c r="H191" s="136"/>
      <c r="I191" s="136"/>
      <c r="J191" s="136"/>
      <c r="K191" s="136"/>
      <c r="L191" s="136"/>
    </row>
    <row r="192" spans="1:12" s="52" customFormat="1" ht="16.5">
      <c r="A192" s="76"/>
      <c r="B192" s="147"/>
      <c r="C192" s="56"/>
      <c r="D192" s="2"/>
      <c r="E192" s="2"/>
      <c r="F192" s="2"/>
      <c r="G192" s="2"/>
      <c r="H192" s="135"/>
      <c r="I192" s="135"/>
      <c r="J192" s="135"/>
      <c r="K192" s="135"/>
      <c r="L192" s="135"/>
    </row>
    <row r="193" spans="1:12" s="52" customFormat="1" ht="16.5">
      <c r="A193" s="76"/>
      <c r="B193" s="147"/>
      <c r="C193" s="54"/>
      <c r="D193" s="2"/>
      <c r="E193" s="2"/>
      <c r="F193" s="2"/>
      <c r="G193" s="2"/>
      <c r="H193" s="136"/>
      <c r="I193" s="136"/>
      <c r="J193" s="136"/>
      <c r="K193" s="54"/>
      <c r="L193" s="54"/>
    </row>
    <row r="194" spans="1:12" s="52" customFormat="1" ht="16.5">
      <c r="A194" s="76"/>
      <c r="B194" s="147"/>
      <c r="C194" s="56"/>
      <c r="D194" s="2"/>
      <c r="E194" s="2"/>
      <c r="F194" s="2"/>
      <c r="G194" s="2"/>
      <c r="H194" s="135"/>
      <c r="I194" s="135"/>
      <c r="J194" s="135"/>
      <c r="K194" s="135"/>
      <c r="L194" s="135"/>
    </row>
    <row r="195" spans="1:12" s="52" customFormat="1" ht="16.5">
      <c r="A195" s="76"/>
      <c r="B195" s="147"/>
      <c r="C195" s="54"/>
      <c r="D195" s="136"/>
      <c r="E195" s="2"/>
      <c r="F195" s="2"/>
      <c r="G195" s="2"/>
      <c r="H195" s="136"/>
      <c r="I195" s="136"/>
      <c r="J195" s="136"/>
      <c r="K195" s="54"/>
      <c r="L195" s="54"/>
    </row>
    <row r="196" spans="1:12" s="52" customFormat="1" ht="16.5">
      <c r="A196" s="76"/>
      <c r="B196" s="147"/>
      <c r="C196" s="56"/>
      <c r="D196" s="136"/>
      <c r="E196" s="2"/>
      <c r="F196" s="2"/>
      <c r="G196" s="2"/>
      <c r="H196" s="135"/>
      <c r="I196" s="135"/>
      <c r="J196" s="135"/>
      <c r="K196" s="56"/>
      <c r="L196" s="56"/>
    </row>
    <row r="197" spans="1:12" s="52" customFormat="1" ht="16.5">
      <c r="A197" s="76"/>
      <c r="B197" s="147"/>
      <c r="C197" s="54"/>
      <c r="D197" s="136"/>
      <c r="E197" s="2"/>
      <c r="F197" s="2"/>
      <c r="G197" s="2"/>
      <c r="H197" s="136"/>
      <c r="I197" s="136"/>
      <c r="J197" s="136"/>
      <c r="K197" s="54"/>
      <c r="L197" s="54"/>
    </row>
    <row r="198" spans="1:12" s="52" customFormat="1" ht="16.5">
      <c r="A198" s="76"/>
      <c r="B198" s="147"/>
      <c r="C198" s="56"/>
      <c r="D198" s="2"/>
      <c r="E198" s="135"/>
      <c r="F198" s="135"/>
      <c r="G198" s="135"/>
      <c r="H198" s="135"/>
      <c r="I198" s="135"/>
      <c r="J198" s="135"/>
      <c r="K198" s="135"/>
      <c r="L198" s="135"/>
    </row>
    <row r="199" spans="1:12" s="52" customFormat="1" ht="16.5">
      <c r="A199" s="76"/>
      <c r="B199" s="147"/>
      <c r="C199" s="54"/>
      <c r="D199" s="2"/>
      <c r="E199" s="2"/>
      <c r="F199" s="2"/>
      <c r="G199" s="2"/>
      <c r="H199" s="136"/>
      <c r="I199" s="136"/>
      <c r="J199" s="136"/>
      <c r="K199" s="136"/>
      <c r="L199" s="136"/>
    </row>
    <row r="200" spans="1:12" s="52" customFormat="1" ht="16.5">
      <c r="A200" s="76"/>
      <c r="B200" s="147"/>
      <c r="C200" s="56"/>
      <c r="D200" s="2"/>
      <c r="E200" s="2"/>
      <c r="F200" s="2"/>
      <c r="G200" s="2"/>
      <c r="H200" s="135"/>
      <c r="I200" s="135"/>
      <c r="J200" s="135"/>
      <c r="K200" s="135"/>
      <c r="L200" s="135"/>
    </row>
    <row r="201" spans="1:12" s="52" customFormat="1" ht="16.5">
      <c r="A201" s="76"/>
      <c r="B201" s="147"/>
      <c r="C201" s="54"/>
      <c r="D201" s="2"/>
      <c r="E201" s="2"/>
      <c r="F201" s="2"/>
      <c r="G201" s="2"/>
      <c r="H201" s="136"/>
      <c r="I201" s="136"/>
      <c r="J201" s="136"/>
      <c r="K201" s="136"/>
      <c r="L201" s="136"/>
    </row>
    <row r="202" spans="1:12" s="52" customFormat="1" ht="16.5">
      <c r="A202" s="76"/>
      <c r="B202" s="147"/>
      <c r="C202" s="56"/>
      <c r="D202" s="2"/>
      <c r="E202" s="2"/>
      <c r="F202" s="2"/>
      <c r="G202" s="2"/>
      <c r="H202" s="135"/>
      <c r="I202" s="135"/>
      <c r="J202" s="135"/>
      <c r="K202" s="135"/>
      <c r="L202" s="135"/>
    </row>
    <row r="203" spans="1:12" s="52" customFormat="1" ht="16.5">
      <c r="A203" s="76"/>
      <c r="B203" s="147"/>
      <c r="C203" s="69"/>
      <c r="D203" s="2"/>
      <c r="E203" s="2"/>
      <c r="F203" s="2"/>
      <c r="G203" s="2"/>
      <c r="H203" s="136"/>
      <c r="I203" s="136"/>
      <c r="J203" s="136"/>
      <c r="K203" s="136"/>
      <c r="L203" s="136"/>
    </row>
    <row r="204" spans="1:12" s="52" customFormat="1" ht="16.5">
      <c r="A204" s="76"/>
      <c r="B204" s="147"/>
      <c r="C204" s="56"/>
      <c r="D204" s="2"/>
      <c r="E204" s="135"/>
      <c r="F204" s="135"/>
      <c r="G204" s="135"/>
      <c r="H204" s="135"/>
      <c r="I204" s="135"/>
      <c r="J204" s="135"/>
      <c r="K204" s="135"/>
      <c r="L204" s="135"/>
    </row>
    <row r="205" spans="1:12" s="52" customFormat="1" ht="16.5">
      <c r="A205" s="76"/>
      <c r="B205" s="147"/>
      <c r="C205" s="54"/>
      <c r="D205" s="136"/>
      <c r="E205" s="2"/>
      <c r="F205" s="2"/>
      <c r="G205" s="2"/>
      <c r="H205" s="136"/>
      <c r="I205" s="136"/>
      <c r="J205" s="136"/>
      <c r="K205" s="54"/>
      <c r="L205" s="54"/>
    </row>
    <row r="206" spans="1:12" s="52" customFormat="1" ht="16.5">
      <c r="A206" s="76"/>
      <c r="B206" s="147"/>
      <c r="C206" s="56"/>
      <c r="D206" s="2"/>
      <c r="E206" s="2"/>
      <c r="F206" s="2"/>
      <c r="G206" s="2"/>
      <c r="H206" s="135"/>
      <c r="I206" s="135"/>
      <c r="J206" s="135"/>
      <c r="K206" s="135"/>
      <c r="L206" s="135"/>
    </row>
    <row r="207" spans="1:12" s="52" customFormat="1" ht="16.5">
      <c r="A207" s="76"/>
      <c r="B207" s="147"/>
      <c r="C207" s="54"/>
      <c r="D207" s="2"/>
      <c r="E207" s="2"/>
      <c r="F207" s="2"/>
      <c r="G207" s="2"/>
      <c r="H207" s="136"/>
      <c r="I207" s="136"/>
      <c r="J207" s="136"/>
      <c r="K207" s="54"/>
      <c r="L207" s="54"/>
    </row>
    <row r="208" spans="1:12" s="52" customFormat="1" ht="16.5">
      <c r="A208" s="76"/>
      <c r="B208" s="147"/>
      <c r="C208" s="56"/>
      <c r="D208" s="2"/>
      <c r="E208" s="2"/>
      <c r="F208" s="2"/>
      <c r="G208" s="2"/>
      <c r="H208" s="135"/>
      <c r="I208" s="135"/>
      <c r="J208" s="135"/>
      <c r="K208" s="135"/>
      <c r="L208" s="135"/>
    </row>
    <row r="209" spans="1:12" s="52" customFormat="1" ht="16.5">
      <c r="A209" s="76"/>
      <c r="B209" s="147"/>
      <c r="C209" s="54"/>
      <c r="D209" s="136"/>
      <c r="E209" s="2"/>
      <c r="F209" s="2"/>
      <c r="G209" s="2"/>
      <c r="H209" s="136"/>
      <c r="I209" s="136"/>
      <c r="J209" s="136"/>
      <c r="K209" s="54"/>
      <c r="L209" s="54"/>
    </row>
    <row r="210" spans="1:12" s="52" customFormat="1" ht="16.5">
      <c r="A210" s="76"/>
      <c r="B210" s="147"/>
      <c r="C210" s="56"/>
      <c r="D210" s="2"/>
      <c r="E210" s="2"/>
      <c r="F210" s="2"/>
      <c r="G210" s="2"/>
      <c r="H210" s="135"/>
      <c r="I210" s="135"/>
      <c r="J210" s="135"/>
      <c r="K210" s="135"/>
      <c r="L210" s="135"/>
    </row>
    <row r="211" spans="1:12" s="52" customFormat="1" ht="16.5">
      <c r="A211" s="76"/>
      <c r="B211" s="147"/>
      <c r="C211" s="54"/>
      <c r="D211" s="2"/>
      <c r="E211" s="2"/>
      <c r="F211" s="2"/>
      <c r="G211" s="2"/>
      <c r="H211" s="136"/>
      <c r="I211" s="136"/>
      <c r="J211" s="136"/>
      <c r="K211" s="54"/>
      <c r="L211" s="54"/>
    </row>
    <row r="212" spans="1:12" s="52" customFormat="1" ht="16.5">
      <c r="A212" s="76"/>
      <c r="B212" s="147"/>
      <c r="C212" s="56"/>
      <c r="D212" s="2"/>
      <c r="E212" s="2"/>
      <c r="F212" s="2"/>
      <c r="G212" s="2"/>
      <c r="H212" s="135"/>
      <c r="I212" s="135"/>
      <c r="J212" s="135"/>
      <c r="K212" s="135"/>
      <c r="L212" s="135"/>
    </row>
    <row r="213" spans="1:12" s="52" customFormat="1" ht="16.5">
      <c r="A213" s="76"/>
      <c r="B213" s="147"/>
      <c r="C213" s="54"/>
      <c r="D213" s="2"/>
      <c r="E213" s="2"/>
      <c r="F213" s="2"/>
      <c r="G213" s="2"/>
      <c r="H213" s="136"/>
      <c r="I213" s="136"/>
      <c r="J213" s="136"/>
      <c r="K213" s="54"/>
      <c r="L213" s="54"/>
    </row>
    <row r="214" spans="1:12" s="52" customFormat="1" ht="16.5">
      <c r="A214" s="76"/>
      <c r="B214" s="147"/>
      <c r="C214" s="56"/>
      <c r="D214" s="2"/>
      <c r="E214" s="2"/>
      <c r="F214" s="2"/>
      <c r="G214" s="2"/>
      <c r="H214" s="135"/>
      <c r="I214" s="135"/>
      <c r="J214" s="135"/>
      <c r="K214" s="135"/>
      <c r="L214" s="135"/>
    </row>
    <row r="215" spans="1:12" s="52" customFormat="1" ht="16.5">
      <c r="A215" s="76"/>
      <c r="B215" s="147"/>
      <c r="C215" s="54"/>
      <c r="D215" s="2"/>
      <c r="E215" s="2"/>
      <c r="F215" s="2"/>
      <c r="G215" s="2"/>
      <c r="H215" s="136"/>
      <c r="I215" s="136"/>
      <c r="J215" s="136"/>
      <c r="K215" s="54"/>
      <c r="L215" s="54"/>
    </row>
    <row r="216" spans="1:12" s="52" customFormat="1" ht="16.5">
      <c r="A216" s="76"/>
      <c r="B216" s="147"/>
      <c r="C216" s="56"/>
      <c r="D216" s="2"/>
      <c r="E216" s="135"/>
      <c r="F216" s="135"/>
      <c r="G216" s="135"/>
      <c r="H216" s="135"/>
      <c r="I216" s="135"/>
      <c r="J216" s="135"/>
      <c r="K216" s="135"/>
      <c r="L216" s="135"/>
    </row>
    <row r="217" spans="1:12" s="52" customFormat="1" ht="16.5">
      <c r="A217" s="76"/>
      <c r="B217" s="147"/>
      <c r="C217" s="54"/>
      <c r="D217" s="2"/>
      <c r="E217" s="135"/>
      <c r="F217" s="135"/>
      <c r="G217" s="135"/>
      <c r="H217" s="136"/>
      <c r="I217" s="136"/>
      <c r="J217" s="136"/>
      <c r="K217" s="54"/>
      <c r="L217" s="54"/>
    </row>
    <row r="218" spans="1:12" s="52" customFormat="1" ht="16.5">
      <c r="A218" s="76"/>
      <c r="B218" s="147"/>
      <c r="C218" s="56"/>
      <c r="D218" s="2"/>
      <c r="E218" s="135"/>
      <c r="F218" s="135"/>
      <c r="G218" s="135"/>
      <c r="H218" s="135"/>
      <c r="I218" s="135"/>
      <c r="J218" s="135"/>
      <c r="K218" s="135"/>
      <c r="L218" s="135"/>
    </row>
    <row r="219" spans="1:12" s="52" customFormat="1" ht="16.5">
      <c r="A219" s="76"/>
      <c r="B219" s="147"/>
      <c r="C219" s="54"/>
      <c r="D219" s="2"/>
      <c r="E219" s="2"/>
      <c r="F219" s="2"/>
      <c r="G219" s="2"/>
      <c r="H219" s="136"/>
      <c r="I219" s="136"/>
      <c r="J219" s="136"/>
      <c r="K219" s="54"/>
      <c r="L219" s="54"/>
    </row>
    <row r="220" spans="1:12" s="52" customFormat="1" ht="16.5">
      <c r="A220" s="76"/>
      <c r="B220" s="147"/>
      <c r="C220" s="56"/>
      <c r="D220" s="2"/>
      <c r="E220" s="135"/>
      <c r="F220" s="135"/>
      <c r="G220" s="135"/>
      <c r="H220" s="135"/>
      <c r="I220" s="135"/>
      <c r="J220" s="135"/>
      <c r="K220" s="135"/>
      <c r="L220" s="135"/>
    </row>
    <row r="221" spans="1:12" s="52" customFormat="1" ht="16.5">
      <c r="A221" s="76"/>
      <c r="B221" s="147"/>
      <c r="C221" s="54"/>
      <c r="D221" s="2"/>
      <c r="E221" s="2"/>
      <c r="F221" s="2"/>
      <c r="G221" s="2"/>
      <c r="H221" s="136"/>
      <c r="I221" s="136"/>
      <c r="J221" s="136"/>
      <c r="K221" s="54"/>
      <c r="L221" s="54"/>
    </row>
    <row r="222" spans="1:12" s="129" customFormat="1" ht="16.5">
      <c r="A222" s="76"/>
      <c r="B222" s="147"/>
      <c r="C222" s="56"/>
      <c r="D222" s="2"/>
      <c r="E222" s="2"/>
      <c r="F222" s="2"/>
      <c r="G222" s="2"/>
      <c r="H222" s="135"/>
      <c r="I222" s="135"/>
      <c r="J222" s="135"/>
      <c r="K222" s="56"/>
      <c r="L222" s="56"/>
    </row>
    <row r="223" spans="1:12" s="129" customFormat="1" ht="16.5">
      <c r="A223" s="76"/>
      <c r="B223" s="147"/>
      <c r="C223" s="54"/>
      <c r="D223" s="136"/>
      <c r="E223" s="2"/>
      <c r="F223" s="2"/>
      <c r="G223" s="2"/>
      <c r="H223" s="136"/>
      <c r="I223" s="136"/>
      <c r="J223" s="136"/>
      <c r="K223" s="54"/>
      <c r="L223" s="54"/>
    </row>
    <row r="224" spans="1:12" s="129" customFormat="1" ht="16.5">
      <c r="A224" s="76"/>
      <c r="B224" s="147"/>
      <c r="C224" s="56"/>
      <c r="D224" s="136"/>
      <c r="E224" s="2"/>
      <c r="F224" s="2"/>
      <c r="G224" s="2"/>
      <c r="H224" s="135"/>
      <c r="I224" s="135"/>
      <c r="J224" s="135"/>
      <c r="K224" s="56"/>
      <c r="L224" s="56"/>
    </row>
    <row r="225" spans="1:12" s="52" customFormat="1" ht="16.5">
      <c r="A225" s="76"/>
      <c r="B225" s="147"/>
      <c r="C225" s="54"/>
      <c r="D225" s="2"/>
      <c r="E225" s="136"/>
      <c r="F225" s="136"/>
      <c r="G225" s="2"/>
      <c r="H225" s="136"/>
      <c r="I225" s="136"/>
      <c r="J225" s="136"/>
      <c r="K225" s="54"/>
      <c r="L225" s="54"/>
    </row>
    <row r="226" spans="1:12" s="52" customFormat="1" ht="16.5">
      <c r="A226" s="76"/>
      <c r="B226" s="147"/>
      <c r="C226" s="56"/>
      <c r="D226" s="2"/>
      <c r="E226" s="2"/>
      <c r="F226" s="2"/>
      <c r="G226" s="2"/>
      <c r="H226" s="135"/>
      <c r="I226" s="135"/>
      <c r="J226" s="135"/>
      <c r="K226" s="135"/>
      <c r="L226" s="135"/>
    </row>
    <row r="227" spans="1:12" s="52" customFormat="1" ht="16.5">
      <c r="A227" s="76"/>
      <c r="B227" s="147"/>
      <c r="C227" s="54"/>
      <c r="D227" s="2"/>
      <c r="E227" s="135"/>
      <c r="F227" s="135"/>
      <c r="G227" s="135"/>
      <c r="H227" s="136"/>
      <c r="I227" s="136"/>
      <c r="J227" s="136"/>
      <c r="K227" s="54"/>
      <c r="L227" s="54"/>
    </row>
    <row r="228" spans="1:12" s="52" customFormat="1" ht="16.5">
      <c r="A228" s="76"/>
      <c r="B228" s="147"/>
      <c r="C228" s="56"/>
      <c r="D228" s="2"/>
      <c r="E228" s="135"/>
      <c r="F228" s="135"/>
      <c r="G228" s="135"/>
      <c r="H228" s="135"/>
      <c r="I228" s="135"/>
      <c r="J228" s="135"/>
      <c r="K228" s="135"/>
      <c r="L228" s="135"/>
    </row>
    <row r="229" spans="1:12" s="52" customFormat="1" ht="16.5">
      <c r="A229" s="76"/>
      <c r="B229" s="147"/>
      <c r="C229" s="54"/>
      <c r="D229" s="2"/>
      <c r="E229" s="2"/>
      <c r="F229" s="2"/>
      <c r="G229" s="2"/>
      <c r="H229" s="136"/>
      <c r="I229" s="136"/>
      <c r="J229" s="136"/>
      <c r="K229" s="54"/>
      <c r="L229" s="54"/>
    </row>
    <row r="230" spans="1:12" s="52" customFormat="1" ht="16.5">
      <c r="A230" s="76"/>
      <c r="B230" s="147"/>
      <c r="C230" s="56"/>
      <c r="D230" s="2"/>
      <c r="E230" s="2"/>
      <c r="F230" s="2"/>
      <c r="G230" s="2"/>
      <c r="H230" s="180"/>
      <c r="I230" s="180"/>
      <c r="J230" s="135"/>
      <c r="K230" s="135"/>
      <c r="L230" s="135"/>
    </row>
    <row r="231" spans="1:12" s="52" customFormat="1" ht="16.5">
      <c r="A231" s="76"/>
      <c r="B231" s="147"/>
      <c r="C231" s="54"/>
      <c r="D231" s="2"/>
      <c r="E231" s="2"/>
      <c r="F231" s="2"/>
      <c r="G231" s="2"/>
      <c r="H231" s="180"/>
      <c r="I231" s="180"/>
      <c r="J231" s="136"/>
      <c r="K231" s="54"/>
      <c r="L231" s="54"/>
    </row>
    <row r="232" spans="1:12" s="52" customFormat="1" ht="16.5">
      <c r="A232" s="76"/>
      <c r="B232" s="147"/>
      <c r="C232" s="56"/>
      <c r="D232" s="2"/>
      <c r="E232" s="2"/>
      <c r="F232" s="2"/>
      <c r="G232" s="2"/>
      <c r="H232" s="180"/>
      <c r="I232" s="180"/>
      <c r="J232" s="135"/>
      <c r="K232" s="135"/>
      <c r="L232" s="135"/>
    </row>
    <row r="233" spans="1:12" s="52" customFormat="1" ht="16.5">
      <c r="A233" s="76"/>
      <c r="B233" s="147"/>
      <c r="C233" s="54"/>
      <c r="D233" s="2"/>
      <c r="E233" s="135"/>
      <c r="F233" s="135"/>
      <c r="G233" s="135"/>
      <c r="H233" s="180"/>
      <c r="I233" s="180"/>
      <c r="J233" s="136"/>
      <c r="K233" s="54"/>
      <c r="L233" s="54"/>
    </row>
    <row r="234" spans="1:12" s="52" customFormat="1" ht="16.5">
      <c r="A234" s="76"/>
      <c r="B234" s="147"/>
      <c r="C234" s="56"/>
      <c r="D234" s="2"/>
      <c r="E234" s="2"/>
      <c r="F234" s="2"/>
      <c r="G234" s="2"/>
      <c r="H234" s="180"/>
      <c r="I234" s="180"/>
      <c r="J234" s="135"/>
      <c r="K234" s="135"/>
      <c r="L234" s="135"/>
    </row>
    <row r="235" spans="1:12" s="52" customFormat="1" ht="16.5">
      <c r="A235" s="76"/>
      <c r="B235" s="147"/>
      <c r="C235" s="54"/>
      <c r="D235" s="2"/>
      <c r="E235" s="2"/>
      <c r="F235" s="2"/>
      <c r="G235" s="2"/>
      <c r="H235" s="180"/>
      <c r="I235" s="180"/>
      <c r="J235" s="136"/>
      <c r="K235" s="54"/>
      <c r="L235" s="54"/>
    </row>
    <row r="236" spans="1:12" s="52" customFormat="1" ht="16.5">
      <c r="A236" s="76"/>
      <c r="B236" s="147"/>
      <c r="C236" s="56"/>
      <c r="D236" s="2"/>
      <c r="E236" s="2"/>
      <c r="F236" s="2"/>
      <c r="G236" s="2"/>
      <c r="H236" s="135"/>
      <c r="I236" s="135"/>
      <c r="J236" s="135"/>
      <c r="K236" s="135"/>
      <c r="L236" s="135"/>
    </row>
    <row r="237" spans="1:12" s="52" customFormat="1" ht="16.5">
      <c r="A237" s="76"/>
      <c r="B237" s="147"/>
      <c r="C237" s="65"/>
      <c r="D237" s="2"/>
      <c r="E237" s="2"/>
      <c r="F237" s="2"/>
      <c r="G237" s="2"/>
      <c r="H237" s="136"/>
      <c r="I237" s="136"/>
      <c r="J237" s="136"/>
      <c r="K237" s="54"/>
      <c r="L237" s="54"/>
    </row>
    <row r="238" spans="1:12" s="52" customFormat="1" ht="16.5">
      <c r="A238" s="76"/>
      <c r="B238" s="147"/>
      <c r="C238" s="56"/>
      <c r="D238" s="2"/>
      <c r="E238" s="2"/>
      <c r="F238" s="2"/>
      <c r="G238" s="2"/>
      <c r="H238" s="135"/>
      <c r="I238" s="135"/>
      <c r="J238" s="135"/>
      <c r="K238" s="135"/>
      <c r="L238" s="135"/>
    </row>
    <row r="239" spans="1:12" s="52" customFormat="1" ht="16.5">
      <c r="A239" s="76"/>
      <c r="B239" s="147"/>
      <c r="C239" s="54"/>
      <c r="D239" s="2"/>
      <c r="E239" s="2"/>
      <c r="F239" s="2"/>
      <c r="G239" s="2"/>
      <c r="H239" s="136"/>
      <c r="I239" s="136"/>
      <c r="J239" s="136"/>
      <c r="K239" s="54"/>
      <c r="L239" s="54"/>
    </row>
    <row r="240" spans="1:12" s="52" customFormat="1" ht="16.5">
      <c r="A240" s="76"/>
      <c r="B240" s="147"/>
      <c r="C240" s="56"/>
      <c r="D240" s="2"/>
      <c r="E240" s="2"/>
      <c r="F240" s="2"/>
      <c r="G240" s="2"/>
      <c r="H240" s="135"/>
      <c r="I240" s="135"/>
      <c r="J240" s="135"/>
      <c r="K240" s="135"/>
      <c r="L240" s="135"/>
    </row>
    <row r="241" spans="1:12" s="52" customFormat="1" ht="16.5">
      <c r="A241" s="76"/>
      <c r="B241" s="147"/>
      <c r="C241" s="54"/>
      <c r="D241" s="2"/>
      <c r="E241" s="2"/>
      <c r="F241" s="2"/>
      <c r="G241" s="2"/>
      <c r="H241" s="136"/>
      <c r="I241" s="136"/>
      <c r="J241" s="136"/>
      <c r="K241" s="54"/>
      <c r="L241" s="54"/>
    </row>
    <row r="242" spans="1:12" s="52" customFormat="1" ht="16.5">
      <c r="A242" s="76"/>
      <c r="B242" s="147"/>
      <c r="C242" s="56"/>
      <c r="D242" s="2"/>
      <c r="E242" s="135"/>
      <c r="F242" s="135"/>
      <c r="G242" s="135"/>
      <c r="H242" s="135"/>
      <c r="I242" s="135"/>
      <c r="J242" s="135"/>
      <c r="K242" s="135"/>
      <c r="L242" s="135"/>
    </row>
    <row r="243" spans="1:12" s="52" customFormat="1" ht="16.5">
      <c r="A243" s="76"/>
      <c r="B243" s="147"/>
      <c r="C243" s="54"/>
      <c r="D243" s="2"/>
      <c r="E243" s="2"/>
      <c r="F243" s="2"/>
      <c r="G243" s="2"/>
      <c r="H243" s="136"/>
      <c r="I243" s="136"/>
      <c r="J243" s="136"/>
      <c r="K243" s="54"/>
      <c r="L243" s="54"/>
    </row>
    <row r="244" spans="1:12" s="52" customFormat="1" ht="16.5">
      <c r="A244" s="76"/>
      <c r="B244" s="147"/>
      <c r="C244" s="56"/>
      <c r="D244" s="2"/>
      <c r="E244" s="2"/>
      <c r="F244" s="2"/>
      <c r="G244" s="2"/>
      <c r="H244" s="135"/>
      <c r="I244" s="135"/>
      <c r="J244" s="135"/>
      <c r="K244" s="135"/>
      <c r="L244" s="135"/>
    </row>
    <row r="245" spans="1:12" s="52" customFormat="1" ht="16.5">
      <c r="A245" s="76"/>
      <c r="B245" s="147"/>
      <c r="C245" s="54"/>
      <c r="D245" s="2"/>
      <c r="E245" s="2"/>
      <c r="F245" s="2"/>
      <c r="G245" s="2"/>
      <c r="H245" s="136"/>
      <c r="I245" s="136"/>
      <c r="J245" s="136"/>
      <c r="K245" s="54"/>
      <c r="L245" s="54"/>
    </row>
    <row r="246" spans="1:12" s="52" customFormat="1" ht="16.5">
      <c r="A246" s="76"/>
      <c r="B246" s="147"/>
      <c r="C246" s="56"/>
      <c r="D246" s="2"/>
      <c r="E246" s="2"/>
      <c r="F246" s="2"/>
      <c r="G246" s="2"/>
      <c r="H246" s="135"/>
      <c r="I246" s="135"/>
      <c r="J246" s="135"/>
      <c r="K246" s="135"/>
      <c r="L246" s="135"/>
    </row>
    <row r="247" spans="1:12" s="52" customFormat="1" ht="16.5">
      <c r="A247" s="76"/>
      <c r="B247" s="147"/>
      <c r="C247" s="54"/>
      <c r="D247" s="2"/>
      <c r="E247" s="2"/>
      <c r="F247" s="2"/>
      <c r="G247" s="2"/>
      <c r="H247" s="136"/>
      <c r="I247" s="136"/>
      <c r="J247" s="136"/>
      <c r="K247" s="54"/>
      <c r="L247" s="54"/>
    </row>
    <row r="248" spans="1:12" s="52" customFormat="1" ht="16.5">
      <c r="A248" s="76"/>
      <c r="B248" s="147"/>
      <c r="C248" s="56"/>
      <c r="D248" s="2"/>
      <c r="E248" s="2"/>
      <c r="F248" s="2"/>
      <c r="G248" s="2"/>
      <c r="H248" s="135"/>
      <c r="I248" s="135"/>
      <c r="J248" s="135"/>
      <c r="K248" s="56"/>
      <c r="L248" s="56"/>
    </row>
    <row r="249" spans="1:12" s="52" customFormat="1" ht="16.5">
      <c r="A249" s="76"/>
      <c r="B249" s="147"/>
      <c r="C249" s="54"/>
      <c r="D249" s="2"/>
      <c r="E249" s="2"/>
      <c r="F249" s="2"/>
      <c r="G249" s="2"/>
      <c r="H249" s="136"/>
      <c r="I249" s="136"/>
      <c r="J249" s="136"/>
      <c r="K249" s="54"/>
      <c r="L249" s="54"/>
    </row>
    <row r="250" spans="1:12" s="52" customFormat="1" ht="16.5">
      <c r="A250" s="76"/>
      <c r="B250" s="147"/>
      <c r="C250" s="56"/>
      <c r="D250" s="136"/>
      <c r="E250" s="2"/>
      <c r="F250" s="2"/>
      <c r="G250" s="2"/>
      <c r="H250" s="135"/>
      <c r="I250" s="135"/>
      <c r="J250" s="135"/>
      <c r="K250" s="56"/>
      <c r="L250" s="56"/>
    </row>
    <row r="251" spans="1:12" s="52" customFormat="1" ht="16.5">
      <c r="A251" s="76"/>
      <c r="B251" s="147"/>
      <c r="C251" s="54"/>
      <c r="D251" s="136"/>
      <c r="E251" s="2"/>
      <c r="F251" s="2"/>
      <c r="G251" s="2"/>
      <c r="H251" s="136"/>
      <c r="I251" s="136"/>
      <c r="J251" s="136"/>
      <c r="K251" s="54"/>
      <c r="L251" s="54"/>
    </row>
    <row r="252" spans="1:12" s="52" customFormat="1" ht="16.5">
      <c r="A252" s="76"/>
      <c r="B252" s="147"/>
      <c r="C252" s="56"/>
      <c r="D252" s="2"/>
      <c r="E252" s="2"/>
      <c r="F252" s="2"/>
      <c r="G252" s="2"/>
      <c r="H252" s="135"/>
      <c r="I252" s="135"/>
      <c r="J252" s="135"/>
      <c r="K252" s="56"/>
      <c r="L252" s="56"/>
    </row>
    <row r="253" spans="1:12" s="52" customFormat="1" ht="16.5">
      <c r="A253" s="76"/>
      <c r="B253" s="147"/>
      <c r="C253" s="54"/>
      <c r="D253" s="2"/>
      <c r="E253" s="2"/>
      <c r="F253" s="2"/>
      <c r="G253" s="2"/>
      <c r="H253" s="136"/>
      <c r="I253" s="136"/>
      <c r="J253" s="136"/>
      <c r="K253" s="54"/>
      <c r="L253" s="54"/>
    </row>
    <row r="254" spans="1:12" s="52" customFormat="1" ht="16.5">
      <c r="A254" s="76"/>
      <c r="B254" s="147"/>
      <c r="C254" s="56"/>
      <c r="D254" s="2"/>
      <c r="E254" s="2"/>
      <c r="F254" s="2"/>
      <c r="G254" s="2"/>
      <c r="H254" s="135"/>
      <c r="I254" s="135"/>
      <c r="J254" s="135"/>
      <c r="K254" s="56"/>
      <c r="L254" s="56"/>
    </row>
    <row r="255" spans="1:12" s="52" customFormat="1" ht="16.5">
      <c r="A255" s="76"/>
      <c r="B255" s="147"/>
      <c r="C255" s="54"/>
      <c r="D255" s="136"/>
      <c r="E255" s="2"/>
      <c r="F255" s="2"/>
      <c r="G255" s="2"/>
      <c r="H255" s="136"/>
      <c r="I255" s="136"/>
      <c r="J255" s="136"/>
      <c r="K255" s="54"/>
      <c r="L255" s="54"/>
    </row>
    <row r="256" spans="1:12" s="52" customFormat="1" ht="16.5">
      <c r="A256" s="76"/>
      <c r="B256" s="147"/>
      <c r="C256" s="56"/>
      <c r="D256" s="136"/>
      <c r="E256" s="2"/>
      <c r="F256" s="2"/>
      <c r="G256" s="2"/>
      <c r="H256" s="135"/>
      <c r="I256" s="135"/>
      <c r="J256" s="135"/>
      <c r="K256" s="56"/>
      <c r="L256" s="56"/>
    </row>
    <row r="257" spans="1:12" s="52" customFormat="1" ht="16.5">
      <c r="A257" s="76"/>
      <c r="B257" s="147"/>
      <c r="C257" s="54"/>
      <c r="D257" s="2"/>
      <c r="E257" s="2"/>
      <c r="F257" s="2"/>
      <c r="G257" s="2"/>
      <c r="H257" s="136"/>
      <c r="I257" s="136"/>
      <c r="J257" s="136"/>
      <c r="K257" s="54"/>
      <c r="L257" s="54"/>
    </row>
    <row r="258" spans="1:12" s="52" customFormat="1" ht="16.5">
      <c r="A258" s="76"/>
      <c r="B258" s="147"/>
      <c r="C258" s="56"/>
      <c r="D258" s="2"/>
      <c r="E258" s="2"/>
      <c r="F258" s="2"/>
      <c r="G258" s="2"/>
      <c r="H258" s="135"/>
      <c r="I258" s="135"/>
      <c r="J258" s="135"/>
      <c r="K258" s="56"/>
      <c r="L258" s="56"/>
    </row>
    <row r="259" spans="1:12" s="52" customFormat="1" ht="16.5">
      <c r="A259" s="76"/>
      <c r="B259" s="147"/>
      <c r="C259" s="54"/>
      <c r="D259" s="2"/>
      <c r="E259" s="2"/>
      <c r="F259" s="2"/>
      <c r="G259" s="2"/>
      <c r="H259" s="136"/>
      <c r="I259" s="136"/>
      <c r="J259" s="136"/>
      <c r="K259" s="54"/>
      <c r="L259" s="54"/>
    </row>
    <row r="260" spans="1:12" s="52" customFormat="1" ht="16.5">
      <c r="A260" s="76"/>
      <c r="B260" s="147"/>
      <c r="C260" s="56"/>
      <c r="D260" s="2"/>
      <c r="E260" s="2"/>
      <c r="F260" s="2"/>
      <c r="G260" s="2"/>
      <c r="H260" s="135"/>
      <c r="I260" s="135"/>
      <c r="J260" s="135"/>
      <c r="K260" s="56"/>
      <c r="L260" s="56"/>
    </row>
    <row r="261" spans="1:12" s="52" customFormat="1" ht="16.5">
      <c r="A261" s="76"/>
      <c r="B261" s="147"/>
      <c r="C261" s="54"/>
      <c r="D261" s="136"/>
      <c r="E261" s="2"/>
      <c r="F261" s="2"/>
      <c r="G261" s="2"/>
      <c r="H261" s="136"/>
      <c r="I261" s="136"/>
      <c r="J261" s="136"/>
      <c r="K261" s="54"/>
      <c r="L261" s="54"/>
    </row>
    <row r="262" spans="1:12" s="52" customFormat="1" ht="16.5">
      <c r="A262" s="76"/>
      <c r="B262" s="147"/>
      <c r="C262" s="56"/>
      <c r="D262" s="136"/>
      <c r="E262" s="2"/>
      <c r="F262" s="2"/>
      <c r="G262" s="2"/>
      <c r="H262" s="135"/>
      <c r="I262" s="135"/>
      <c r="J262" s="135"/>
      <c r="K262" s="135"/>
      <c r="L262" s="135"/>
    </row>
    <row r="263" spans="1:12" s="52" customFormat="1" ht="16.5">
      <c r="A263" s="76"/>
      <c r="B263" s="147"/>
      <c r="C263" s="54"/>
      <c r="D263" s="136"/>
      <c r="E263" s="2"/>
      <c r="F263" s="2"/>
      <c r="G263" s="2"/>
      <c r="H263" s="136"/>
      <c r="I263" s="136"/>
      <c r="J263" s="136"/>
      <c r="K263" s="54"/>
      <c r="L263" s="54"/>
    </row>
    <row r="264" spans="1:12" s="52" customFormat="1" ht="16.5">
      <c r="A264" s="76"/>
      <c r="B264" s="147"/>
      <c r="C264" s="56"/>
      <c r="D264" s="136"/>
      <c r="E264" s="2"/>
      <c r="F264" s="2"/>
      <c r="G264" s="2"/>
      <c r="H264" s="135"/>
      <c r="I264" s="135"/>
      <c r="J264" s="135"/>
      <c r="K264" s="135"/>
      <c r="L264" s="135"/>
    </row>
    <row r="265" spans="1:12" s="52" customFormat="1" ht="16.5">
      <c r="A265" s="76"/>
      <c r="B265" s="147"/>
      <c r="C265" s="54"/>
      <c r="D265" s="136"/>
      <c r="E265" s="2"/>
      <c r="F265" s="2"/>
      <c r="G265" s="2"/>
      <c r="H265" s="136"/>
      <c r="I265" s="136"/>
      <c r="J265" s="136"/>
      <c r="K265" s="54"/>
      <c r="L265" s="54"/>
    </row>
    <row r="266" spans="1:12" s="52" customFormat="1" ht="16.5">
      <c r="A266" s="76"/>
      <c r="B266" s="147"/>
      <c r="C266" s="56"/>
      <c r="D266" s="136"/>
      <c r="E266" s="2"/>
      <c r="F266" s="2"/>
      <c r="G266" s="2"/>
      <c r="H266" s="135"/>
      <c r="I266" s="135"/>
      <c r="J266" s="135"/>
      <c r="K266" s="135"/>
      <c r="L266" s="135"/>
    </row>
    <row r="267" spans="1:12" s="52" customFormat="1" ht="16.5">
      <c r="A267" s="76"/>
      <c r="B267" s="147"/>
      <c r="C267" s="54"/>
      <c r="D267" s="136"/>
      <c r="E267" s="2"/>
      <c r="F267" s="2"/>
      <c r="G267" s="2"/>
      <c r="H267" s="136"/>
      <c r="I267" s="136"/>
      <c r="J267" s="136"/>
      <c r="K267" s="54"/>
      <c r="L267" s="54"/>
    </row>
    <row r="268" spans="1:12" s="52" customFormat="1" ht="16.5">
      <c r="A268" s="76"/>
      <c r="B268" s="147"/>
      <c r="C268" s="56"/>
      <c r="D268" s="136"/>
      <c r="E268" s="2"/>
      <c r="F268" s="2"/>
      <c r="G268" s="2"/>
      <c r="H268" s="135"/>
      <c r="I268" s="135"/>
      <c r="J268" s="135"/>
      <c r="K268" s="135"/>
      <c r="L268" s="135"/>
    </row>
    <row r="269" spans="1:12" s="52" customFormat="1" ht="16.5">
      <c r="A269" s="76"/>
      <c r="B269" s="147"/>
      <c r="C269" s="54"/>
      <c r="D269" s="2"/>
      <c r="E269" s="135"/>
      <c r="F269" s="135"/>
      <c r="G269" s="2"/>
      <c r="H269" s="136"/>
      <c r="I269" s="136"/>
      <c r="J269" s="136"/>
      <c r="K269" s="54"/>
      <c r="L269" s="54"/>
    </row>
    <row r="270" spans="1:12" s="52" customFormat="1" ht="16.5">
      <c r="A270" s="76"/>
      <c r="B270" s="147"/>
      <c r="C270" s="56"/>
      <c r="D270" s="2"/>
      <c r="E270" s="2"/>
      <c r="F270" s="2"/>
      <c r="G270" s="2"/>
      <c r="H270" s="135"/>
      <c r="I270" s="135"/>
      <c r="J270" s="135"/>
      <c r="K270" s="135"/>
      <c r="L270" s="135"/>
    </row>
    <row r="271" spans="1:12" s="52" customFormat="1" ht="16.5">
      <c r="A271" s="76"/>
      <c r="B271" s="147"/>
      <c r="C271" s="54"/>
      <c r="D271" s="2"/>
      <c r="E271" s="2"/>
      <c r="F271" s="2"/>
      <c r="G271" s="2"/>
      <c r="H271" s="136"/>
      <c r="I271" s="136"/>
      <c r="J271" s="136"/>
      <c r="K271" s="54"/>
      <c r="L271" s="54"/>
    </row>
    <row r="272" spans="1:12" s="52" customFormat="1" ht="16.5">
      <c r="A272" s="76"/>
      <c r="B272" s="147"/>
      <c r="C272" s="56"/>
      <c r="D272" s="2"/>
      <c r="E272" s="2"/>
      <c r="F272" s="2"/>
      <c r="G272" s="2"/>
      <c r="H272" s="135"/>
      <c r="I272" s="135"/>
      <c r="J272" s="135"/>
      <c r="K272" s="135"/>
      <c r="L272" s="135"/>
    </row>
    <row r="273" spans="1:12" s="52" customFormat="1" ht="16.5">
      <c r="A273" s="76"/>
      <c r="B273" s="147"/>
      <c r="C273" s="54"/>
      <c r="D273" s="2"/>
      <c r="E273" s="2"/>
      <c r="F273" s="2"/>
      <c r="G273" s="2"/>
      <c r="H273" s="136"/>
      <c r="I273" s="136"/>
      <c r="J273" s="136"/>
      <c r="K273" s="54"/>
      <c r="L273" s="54"/>
    </row>
    <row r="274" spans="1:12" s="52" customFormat="1" ht="16.5">
      <c r="A274" s="76"/>
      <c r="B274" s="147"/>
      <c r="C274" s="56"/>
      <c r="D274" s="2"/>
      <c r="E274" s="2"/>
      <c r="F274" s="2"/>
      <c r="G274" s="2"/>
      <c r="H274" s="135"/>
      <c r="I274" s="135"/>
      <c r="J274" s="135"/>
      <c r="K274" s="135"/>
      <c r="L274" s="135"/>
    </row>
    <row r="275" spans="1:12" s="52" customFormat="1" ht="16.5">
      <c r="A275" s="76"/>
      <c r="B275" s="147"/>
      <c r="C275" s="54"/>
      <c r="D275" s="2"/>
      <c r="E275" s="2"/>
      <c r="F275" s="2"/>
      <c r="G275" s="2"/>
      <c r="H275" s="136"/>
      <c r="I275" s="136"/>
      <c r="J275" s="136"/>
      <c r="K275" s="54"/>
      <c r="L275" s="54"/>
    </row>
    <row r="276" spans="1:12" s="52" customFormat="1" ht="16.5">
      <c r="A276" s="76"/>
      <c r="B276" s="147"/>
      <c r="C276" s="56"/>
      <c r="D276" s="2"/>
      <c r="E276" s="2"/>
      <c r="F276" s="2"/>
      <c r="G276" s="2"/>
      <c r="H276" s="135"/>
      <c r="I276" s="135"/>
      <c r="J276" s="135"/>
      <c r="K276" s="135"/>
      <c r="L276" s="135"/>
    </row>
    <row r="277" spans="1:12" s="52" customFormat="1" ht="16.5">
      <c r="A277" s="76"/>
      <c r="B277" s="147"/>
      <c r="C277" s="54"/>
      <c r="D277" s="2"/>
      <c r="E277" s="2"/>
      <c r="F277" s="2"/>
      <c r="G277" s="2"/>
      <c r="H277" s="136"/>
      <c r="I277" s="136"/>
      <c r="J277" s="136"/>
      <c r="K277" s="54"/>
      <c r="L277" s="54"/>
    </row>
    <row r="278" spans="1:12" s="52" customFormat="1" ht="16.5">
      <c r="A278" s="76"/>
      <c r="B278" s="147"/>
      <c r="C278" s="56"/>
      <c r="D278" s="2"/>
      <c r="E278" s="2"/>
      <c r="F278" s="2"/>
      <c r="G278" s="2"/>
      <c r="H278" s="135"/>
      <c r="I278" s="135"/>
      <c r="J278" s="135"/>
      <c r="K278" s="135"/>
      <c r="L278" s="135"/>
    </row>
    <row r="279" spans="1:12" s="52" customFormat="1" ht="16.5">
      <c r="A279" s="76"/>
      <c r="B279" s="147"/>
      <c r="C279" s="54"/>
      <c r="D279" s="2"/>
      <c r="E279" s="2"/>
      <c r="F279" s="2"/>
      <c r="G279" s="2"/>
      <c r="H279" s="136"/>
      <c r="I279" s="136"/>
      <c r="J279" s="136"/>
      <c r="K279" s="54"/>
      <c r="L279" s="54"/>
    </row>
    <row r="280" spans="1:12" s="52" customFormat="1" ht="16.5">
      <c r="A280" s="76"/>
      <c r="B280" s="147"/>
      <c r="C280" s="56"/>
      <c r="D280" s="2"/>
      <c r="E280" s="2"/>
      <c r="F280" s="2"/>
      <c r="G280" s="2"/>
      <c r="H280" s="135"/>
      <c r="I280" s="135"/>
      <c r="J280" s="135"/>
      <c r="K280" s="135"/>
      <c r="L280" s="135"/>
    </row>
    <row r="281" spans="1:12" s="52" customFormat="1" ht="16.5">
      <c r="A281" s="76"/>
      <c r="B281" s="147"/>
      <c r="C281" s="54"/>
      <c r="D281" s="2"/>
      <c r="E281" s="2"/>
      <c r="F281" s="2"/>
      <c r="G281" s="2"/>
      <c r="H281" s="136"/>
      <c r="I281" s="136"/>
      <c r="J281" s="136"/>
      <c r="K281" s="54"/>
      <c r="L281" s="54"/>
    </row>
    <row r="282" spans="1:12" s="52" customFormat="1" ht="16.5">
      <c r="A282" s="76"/>
      <c r="B282" s="147"/>
      <c r="C282" s="56"/>
      <c r="D282" s="2"/>
      <c r="E282" s="2"/>
      <c r="F282" s="2"/>
      <c r="G282" s="2"/>
      <c r="H282" s="135"/>
      <c r="I282" s="135"/>
      <c r="J282" s="135"/>
      <c r="K282" s="135"/>
      <c r="L282" s="135"/>
    </row>
    <row r="283" spans="1:12" s="52" customFormat="1" ht="16.5">
      <c r="A283" s="76"/>
      <c r="B283" s="147"/>
      <c r="C283" s="54"/>
      <c r="D283" s="2"/>
      <c r="E283" s="2"/>
      <c r="F283" s="2"/>
      <c r="G283" s="2"/>
      <c r="H283" s="136"/>
      <c r="I283" s="136"/>
      <c r="J283" s="136"/>
      <c r="K283" s="54"/>
      <c r="L283" s="54"/>
    </row>
    <row r="284" spans="1:12" s="52" customFormat="1" ht="16.5">
      <c r="A284" s="76"/>
      <c r="B284" s="147"/>
      <c r="C284" s="56"/>
      <c r="D284" s="2"/>
      <c r="E284" s="135"/>
      <c r="F284" s="135"/>
      <c r="G284" s="135"/>
      <c r="H284" s="135"/>
      <c r="I284" s="135"/>
      <c r="J284" s="135"/>
      <c r="K284" s="135"/>
      <c r="L284" s="135"/>
    </row>
    <row r="285" spans="1:12" s="52" customFormat="1" ht="16.5">
      <c r="A285" s="76"/>
      <c r="B285" s="147"/>
      <c r="C285" s="54"/>
      <c r="D285" s="2"/>
      <c r="E285" s="2"/>
      <c r="F285" s="2"/>
      <c r="G285" s="2"/>
      <c r="H285" s="136"/>
      <c r="I285" s="136"/>
      <c r="J285" s="136"/>
      <c r="K285" s="54"/>
      <c r="L285" s="54"/>
    </row>
    <row r="286" spans="1:12" s="52" customFormat="1" ht="16.5">
      <c r="A286" s="76"/>
      <c r="B286" s="147"/>
      <c r="C286" s="56"/>
      <c r="D286" s="2"/>
      <c r="E286" s="135"/>
      <c r="F286" s="135"/>
      <c r="G286" s="135"/>
      <c r="H286" s="135"/>
      <c r="I286" s="135"/>
      <c r="J286" s="135"/>
      <c r="K286" s="135"/>
      <c r="L286" s="135"/>
    </row>
    <row r="287" spans="1:12" s="52" customFormat="1" ht="16.5">
      <c r="A287" s="76"/>
      <c r="B287" s="147"/>
      <c r="C287" s="54"/>
      <c r="D287" s="2"/>
      <c r="E287" s="2"/>
      <c r="F287" s="2"/>
      <c r="G287" s="2"/>
      <c r="H287" s="136"/>
      <c r="I287" s="136"/>
      <c r="J287" s="136"/>
      <c r="K287" s="54"/>
      <c r="L287" s="54"/>
    </row>
    <row r="288" spans="1:12" s="52" customFormat="1" ht="16.5">
      <c r="A288" s="76"/>
      <c r="B288" s="147"/>
      <c r="C288" s="56"/>
      <c r="D288" s="2"/>
      <c r="E288" s="2"/>
      <c r="F288" s="2"/>
      <c r="G288" s="2"/>
      <c r="H288" s="180"/>
      <c r="I288" s="180"/>
      <c r="J288" s="135"/>
      <c r="K288" s="135"/>
      <c r="L288" s="135"/>
    </row>
    <row r="289" spans="1:12" s="52" customFormat="1" ht="16.5">
      <c r="A289" s="76"/>
      <c r="B289" s="147"/>
      <c r="C289" s="54"/>
      <c r="D289" s="2"/>
      <c r="E289" s="2"/>
      <c r="F289" s="2"/>
      <c r="G289" s="2"/>
      <c r="H289" s="180"/>
      <c r="I289" s="180"/>
      <c r="J289" s="136"/>
      <c r="K289" s="54"/>
      <c r="L289" s="54"/>
    </row>
    <row r="290" spans="1:12" s="52" customFormat="1" ht="16.5">
      <c r="A290" s="76"/>
      <c r="B290" s="147"/>
      <c r="C290" s="56"/>
      <c r="D290" s="2"/>
      <c r="E290" s="2"/>
      <c r="F290" s="2"/>
      <c r="G290" s="2"/>
      <c r="H290" s="180"/>
      <c r="I290" s="180"/>
      <c r="J290" s="135"/>
      <c r="K290" s="135"/>
      <c r="L290" s="135"/>
    </row>
    <row r="291" spans="1:12" s="52" customFormat="1" ht="16.5">
      <c r="A291" s="76"/>
      <c r="B291" s="147"/>
      <c r="C291" s="54"/>
      <c r="D291" s="2"/>
      <c r="E291" s="2"/>
      <c r="F291" s="2"/>
      <c r="G291" s="2"/>
      <c r="H291" s="180"/>
      <c r="I291" s="180"/>
      <c r="J291" s="136"/>
      <c r="K291" s="54"/>
      <c r="L291" s="54"/>
    </row>
    <row r="292" spans="1:12" s="52" customFormat="1" ht="16.5">
      <c r="A292" s="76"/>
      <c r="B292" s="147"/>
      <c r="C292" s="56"/>
      <c r="D292" s="2"/>
      <c r="E292" s="135"/>
      <c r="F292" s="135"/>
      <c r="G292" s="135"/>
      <c r="H292" s="180"/>
      <c r="I292" s="180"/>
      <c r="J292" s="135"/>
      <c r="K292" s="135"/>
      <c r="L292" s="135"/>
    </row>
    <row r="293" spans="1:12" s="52" customFormat="1" ht="16.5">
      <c r="A293" s="76"/>
      <c r="B293" s="147"/>
      <c r="C293" s="69"/>
      <c r="D293" s="2"/>
      <c r="E293" s="135"/>
      <c r="F293" s="135"/>
      <c r="G293" s="135"/>
      <c r="H293" s="180"/>
      <c r="I293" s="180"/>
      <c r="J293" s="136"/>
      <c r="K293" s="54"/>
      <c r="L293" s="54"/>
    </row>
    <row r="294" spans="1:12" s="52" customFormat="1" ht="16.5">
      <c r="A294" s="76"/>
      <c r="B294" s="147"/>
      <c r="C294" s="56"/>
      <c r="D294" s="2"/>
      <c r="E294" s="2"/>
      <c r="F294" s="2"/>
      <c r="G294" s="2"/>
      <c r="H294" s="180"/>
      <c r="I294" s="180"/>
      <c r="J294" s="135"/>
      <c r="K294" s="135"/>
      <c r="L294" s="135"/>
    </row>
    <row r="295" spans="1:12" s="52" customFormat="1" ht="16.5">
      <c r="A295" s="76"/>
      <c r="B295" s="147"/>
      <c r="C295" s="54"/>
      <c r="D295" s="2"/>
      <c r="E295" s="2"/>
      <c r="F295" s="2"/>
      <c r="G295" s="2"/>
      <c r="H295" s="180"/>
      <c r="I295" s="180"/>
      <c r="J295" s="136"/>
      <c r="K295" s="54"/>
      <c r="L295" s="54"/>
    </row>
    <row r="296" spans="1:12" s="52" customFormat="1" ht="16.5">
      <c r="A296" s="76"/>
      <c r="B296" s="147"/>
      <c r="C296" s="56"/>
      <c r="D296" s="2"/>
      <c r="E296" s="2"/>
      <c r="F296" s="2"/>
      <c r="G296" s="2"/>
      <c r="H296" s="180"/>
      <c r="I296" s="180"/>
      <c r="J296" s="135"/>
      <c r="K296" s="135"/>
      <c r="L296" s="135"/>
    </row>
    <row r="297" spans="1:12" s="52" customFormat="1" ht="16.5">
      <c r="A297" s="76"/>
      <c r="B297" s="147"/>
      <c r="C297" s="54"/>
      <c r="D297" s="2"/>
      <c r="E297" s="2"/>
      <c r="F297" s="2"/>
      <c r="G297" s="2"/>
      <c r="H297" s="180"/>
      <c r="I297" s="180"/>
      <c r="J297" s="136"/>
      <c r="K297" s="54"/>
      <c r="L297" s="54"/>
    </row>
    <row r="298" spans="1:12" s="52" customFormat="1" ht="16.5">
      <c r="A298" s="76"/>
      <c r="B298" s="147"/>
      <c r="C298" s="56"/>
      <c r="D298" s="2"/>
      <c r="E298" s="2"/>
      <c r="F298" s="2"/>
      <c r="G298" s="2"/>
      <c r="H298" s="180"/>
      <c r="I298" s="180"/>
      <c r="J298" s="135"/>
      <c r="K298" s="135"/>
      <c r="L298" s="135"/>
    </row>
    <row r="299" spans="1:12" s="52" customFormat="1" ht="16.5">
      <c r="A299" s="76"/>
      <c r="B299" s="147"/>
      <c r="C299" s="54"/>
      <c r="D299" s="2"/>
      <c r="E299" s="135"/>
      <c r="F299" s="135"/>
      <c r="G299" s="135"/>
      <c r="H299" s="180"/>
      <c r="I299" s="180"/>
      <c r="J299" s="136"/>
      <c r="K299" s="54"/>
      <c r="L299" s="54"/>
    </row>
    <row r="300" spans="1:12" s="52" customFormat="1" ht="16.5">
      <c r="A300" s="76"/>
      <c r="B300" s="147"/>
      <c r="C300" s="56"/>
      <c r="D300" s="2"/>
      <c r="E300" s="2"/>
      <c r="F300" s="2"/>
      <c r="G300" s="2"/>
      <c r="H300" s="180"/>
      <c r="I300" s="180"/>
      <c r="J300" s="135"/>
      <c r="K300" s="135"/>
      <c r="L300" s="135"/>
    </row>
    <row r="301" spans="1:12" s="52" customFormat="1" ht="16.5">
      <c r="A301" s="76"/>
      <c r="B301" s="147"/>
      <c r="C301" s="54"/>
      <c r="D301" s="2"/>
      <c r="E301" s="2"/>
      <c r="F301" s="2"/>
      <c r="G301" s="2"/>
      <c r="H301" s="136"/>
      <c r="I301" s="136"/>
      <c r="J301" s="136"/>
      <c r="K301" s="54"/>
      <c r="L301" s="54"/>
    </row>
    <row r="302" spans="1:12" s="52" customFormat="1" ht="16.5">
      <c r="A302" s="76"/>
      <c r="B302" s="147"/>
      <c r="C302" s="56"/>
      <c r="D302" s="2"/>
      <c r="E302" s="2"/>
      <c r="F302" s="2"/>
      <c r="G302" s="2"/>
      <c r="H302" s="135"/>
      <c r="I302" s="135"/>
      <c r="J302" s="135"/>
      <c r="K302" s="135"/>
      <c r="L302" s="135"/>
    </row>
    <row r="303" spans="1:12" s="52" customFormat="1" ht="16.5">
      <c r="A303" s="76"/>
      <c r="B303" s="147"/>
      <c r="C303" s="54"/>
      <c r="D303" s="2"/>
      <c r="E303" s="2"/>
      <c r="F303" s="2"/>
      <c r="G303" s="2"/>
      <c r="H303" s="136"/>
      <c r="I303" s="136"/>
      <c r="J303" s="136"/>
      <c r="K303" s="54"/>
      <c r="L303" s="54"/>
    </row>
    <row r="304" spans="1:12" s="52" customFormat="1" ht="16.5">
      <c r="A304" s="76"/>
      <c r="B304" s="147"/>
      <c r="C304" s="56"/>
      <c r="D304" s="2"/>
      <c r="E304" s="2"/>
      <c r="F304" s="2"/>
      <c r="G304" s="2"/>
      <c r="H304" s="135"/>
      <c r="I304" s="135"/>
      <c r="J304" s="135"/>
      <c r="K304" s="135"/>
      <c r="L304" s="135"/>
    </row>
    <row r="305" spans="1:12" s="52" customFormat="1" ht="16.5">
      <c r="A305" s="76"/>
      <c r="B305" s="147"/>
      <c r="C305" s="54"/>
      <c r="D305" s="2"/>
      <c r="E305" s="2"/>
      <c r="F305" s="2"/>
      <c r="G305" s="2"/>
      <c r="H305" s="136"/>
      <c r="I305" s="136"/>
      <c r="J305" s="136"/>
      <c r="K305" s="54"/>
      <c r="L305" s="54"/>
    </row>
    <row r="306" spans="1:12" s="52" customFormat="1" ht="16.5">
      <c r="A306" s="76"/>
      <c r="B306" s="147"/>
      <c r="C306" s="56"/>
      <c r="D306" s="2"/>
      <c r="E306" s="2"/>
      <c r="F306" s="2"/>
      <c r="G306" s="2"/>
      <c r="H306" s="135"/>
      <c r="I306" s="135"/>
      <c r="J306" s="135"/>
      <c r="K306" s="135"/>
      <c r="L306" s="135"/>
    </row>
    <row r="307" spans="1:12" s="52" customFormat="1" ht="16.5">
      <c r="A307" s="76"/>
      <c r="B307" s="147"/>
      <c r="C307" s="70"/>
      <c r="D307" s="2"/>
      <c r="E307" s="2"/>
      <c r="F307" s="2"/>
      <c r="G307" s="2"/>
      <c r="H307" s="136"/>
      <c r="I307" s="136"/>
      <c r="J307" s="136"/>
      <c r="K307" s="54"/>
      <c r="L307" s="54"/>
    </row>
    <row r="308" spans="1:12" s="52" customFormat="1" ht="16.5">
      <c r="A308" s="76"/>
      <c r="B308" s="147"/>
      <c r="C308" s="56"/>
      <c r="D308" s="2"/>
      <c r="E308" s="2"/>
      <c r="F308" s="2"/>
      <c r="G308" s="2"/>
      <c r="H308" s="135"/>
      <c r="I308" s="135"/>
      <c r="J308" s="135"/>
      <c r="K308" s="135"/>
      <c r="L308" s="135"/>
    </row>
    <row r="309" spans="1:12" s="52" customFormat="1" ht="16.5">
      <c r="A309" s="76"/>
      <c r="B309" s="147"/>
      <c r="C309" s="54"/>
      <c r="D309" s="2"/>
      <c r="E309" s="2"/>
      <c r="F309" s="2"/>
      <c r="G309" s="2"/>
      <c r="H309" s="136"/>
      <c r="I309" s="136"/>
      <c r="J309" s="136"/>
      <c r="K309" s="54"/>
      <c r="L309" s="54"/>
    </row>
    <row r="310" spans="1:12" s="52" customFormat="1" ht="16.5">
      <c r="A310" s="76"/>
      <c r="B310" s="147"/>
      <c r="C310" s="56"/>
      <c r="D310" s="136"/>
      <c r="E310" s="2"/>
      <c r="F310" s="2"/>
      <c r="G310" s="2"/>
      <c r="H310" s="135"/>
      <c r="I310" s="135"/>
      <c r="J310" s="135"/>
      <c r="K310" s="56"/>
      <c r="L310" s="56"/>
    </row>
    <row r="311" spans="1:12" s="52" customFormat="1" ht="16.5">
      <c r="A311" s="76"/>
      <c r="B311" s="147"/>
      <c r="C311" s="54"/>
      <c r="D311" s="136"/>
      <c r="E311" s="2"/>
      <c r="F311" s="2"/>
      <c r="G311" s="2"/>
      <c r="H311" s="136"/>
      <c r="I311" s="136"/>
      <c r="J311" s="136"/>
      <c r="K311" s="54"/>
      <c r="L311" s="54"/>
    </row>
    <row r="312" spans="1:12" s="52" customFormat="1" ht="16.5">
      <c r="A312" s="76"/>
      <c r="B312" s="147"/>
      <c r="C312" s="56"/>
      <c r="D312" s="136"/>
      <c r="E312" s="2"/>
      <c r="F312" s="2"/>
      <c r="G312" s="2"/>
      <c r="H312" s="135"/>
      <c r="I312" s="135"/>
      <c r="J312" s="135"/>
      <c r="K312" s="56"/>
      <c r="L312" s="56"/>
    </row>
    <row r="313" spans="1:12" s="52" customFormat="1" ht="16.5">
      <c r="A313" s="76"/>
      <c r="B313" s="147"/>
      <c r="C313" s="54"/>
      <c r="D313" s="136"/>
      <c r="E313" s="2"/>
      <c r="F313" s="2"/>
      <c r="G313" s="2"/>
      <c r="H313" s="136"/>
      <c r="I313" s="136"/>
      <c r="J313" s="136"/>
      <c r="K313" s="54"/>
      <c r="L313" s="54"/>
    </row>
    <row r="314" spans="1:12" s="52" customFormat="1" ht="16.5">
      <c r="A314" s="76"/>
      <c r="B314" s="147"/>
      <c r="C314" s="56"/>
      <c r="D314" s="136"/>
      <c r="E314" s="2"/>
      <c r="F314" s="2"/>
      <c r="G314" s="2"/>
      <c r="H314" s="135"/>
      <c r="I314" s="135"/>
      <c r="J314" s="135"/>
      <c r="K314" s="56"/>
      <c r="L314" s="56"/>
    </row>
    <row r="315" spans="1:12" s="52" customFormat="1" ht="16.5">
      <c r="A315" s="76"/>
      <c r="B315" s="147"/>
      <c r="C315" s="54"/>
      <c r="D315" s="136"/>
      <c r="E315" s="2"/>
      <c r="F315" s="2"/>
      <c r="G315" s="2"/>
      <c r="H315" s="136"/>
      <c r="I315" s="136"/>
      <c r="J315" s="136"/>
      <c r="K315" s="54"/>
      <c r="L315" s="54"/>
    </row>
    <row r="316" spans="1:12" s="52" customFormat="1" ht="16.5">
      <c r="A316" s="76"/>
      <c r="B316" s="147"/>
      <c r="C316" s="56"/>
      <c r="D316" s="136"/>
      <c r="E316" s="2"/>
      <c r="F316" s="2"/>
      <c r="G316" s="2"/>
      <c r="H316" s="135"/>
      <c r="I316" s="135"/>
      <c r="J316" s="135"/>
      <c r="K316" s="56"/>
      <c r="L316" s="56"/>
    </row>
    <row r="317" spans="1:12" s="52" customFormat="1" ht="16.5">
      <c r="A317" s="76"/>
      <c r="B317" s="147"/>
      <c r="C317" s="54"/>
      <c r="D317" s="2"/>
      <c r="E317" s="2"/>
      <c r="F317" s="2"/>
      <c r="G317" s="2"/>
      <c r="H317" s="136"/>
      <c r="I317" s="136"/>
      <c r="J317" s="136"/>
      <c r="K317" s="54"/>
      <c r="L317" s="54"/>
    </row>
    <row r="318" spans="1:12" s="52" customFormat="1" ht="16.5">
      <c r="A318" s="76"/>
      <c r="B318" s="147"/>
      <c r="C318" s="56"/>
      <c r="D318" s="2"/>
      <c r="E318" s="2"/>
      <c r="F318" s="2"/>
      <c r="G318" s="2"/>
      <c r="H318" s="135"/>
      <c r="I318" s="135"/>
      <c r="J318" s="135"/>
      <c r="K318" s="135"/>
      <c r="L318" s="135"/>
    </row>
    <row r="319" spans="1:12" s="52" customFormat="1" ht="16.5">
      <c r="A319" s="76"/>
      <c r="B319" s="147"/>
      <c r="C319" s="54"/>
      <c r="D319" s="2"/>
      <c r="E319" s="2"/>
      <c r="F319" s="2"/>
      <c r="G319" s="2"/>
      <c r="H319" s="136"/>
      <c r="I319" s="136"/>
      <c r="J319" s="136"/>
      <c r="K319" s="54"/>
      <c r="L319" s="54"/>
    </row>
    <row r="320" spans="1:12" s="52" customFormat="1" ht="16.5">
      <c r="A320" s="76"/>
      <c r="B320" s="147"/>
      <c r="C320" s="56"/>
      <c r="D320" s="2"/>
      <c r="E320" s="2"/>
      <c r="F320" s="2"/>
      <c r="G320" s="2"/>
      <c r="H320" s="135"/>
      <c r="I320" s="135"/>
      <c r="J320" s="135"/>
      <c r="K320" s="135"/>
      <c r="L320" s="135"/>
    </row>
    <row r="321" spans="1:12" s="52" customFormat="1" ht="16.5">
      <c r="A321" s="76"/>
      <c r="B321" s="147"/>
      <c r="C321" s="54"/>
      <c r="D321" s="2"/>
      <c r="E321" s="136"/>
      <c r="F321" s="136"/>
      <c r="G321" s="2"/>
      <c r="H321" s="136"/>
      <c r="I321" s="136"/>
      <c r="J321" s="136"/>
      <c r="K321" s="54"/>
      <c r="L321" s="54"/>
    </row>
    <row r="322" spans="1:12" s="52" customFormat="1" ht="16.5">
      <c r="A322" s="76"/>
      <c r="B322" s="147"/>
      <c r="C322" s="56"/>
      <c r="D322" s="2"/>
      <c r="E322" s="2"/>
      <c r="F322" s="2"/>
      <c r="G322" s="2"/>
      <c r="H322" s="135"/>
      <c r="I322" s="135"/>
      <c r="J322" s="135"/>
      <c r="K322" s="135"/>
      <c r="L322" s="135"/>
    </row>
    <row r="323" spans="1:12" s="52" customFormat="1" ht="16.5">
      <c r="A323" s="76"/>
      <c r="B323" s="147"/>
      <c r="C323" s="54"/>
      <c r="D323" s="136"/>
      <c r="E323" s="2"/>
      <c r="F323" s="2"/>
      <c r="G323" s="2"/>
      <c r="H323" s="136"/>
      <c r="I323" s="136"/>
      <c r="J323" s="136"/>
      <c r="K323" s="54"/>
      <c r="L323" s="54"/>
    </row>
    <row r="324" spans="1:12" s="52" customFormat="1" ht="16.5">
      <c r="A324" s="76"/>
      <c r="B324" s="147"/>
      <c r="C324" s="56"/>
      <c r="D324" s="136"/>
      <c r="E324" s="2"/>
      <c r="F324" s="2"/>
      <c r="G324" s="2"/>
      <c r="H324" s="135"/>
      <c r="I324" s="135"/>
      <c r="J324" s="135"/>
      <c r="K324" s="56"/>
      <c r="L324" s="56"/>
    </row>
    <row r="325" spans="1:12" s="52" customFormat="1" ht="16.5">
      <c r="A325" s="76"/>
      <c r="B325" s="147"/>
      <c r="C325" s="54"/>
      <c r="D325" s="136"/>
      <c r="E325" s="2"/>
      <c r="F325" s="2"/>
      <c r="G325" s="2"/>
      <c r="H325" s="136"/>
      <c r="I325" s="136"/>
      <c r="J325" s="136"/>
      <c r="K325" s="54"/>
      <c r="L325" s="54"/>
    </row>
    <row r="326" spans="1:12" s="52" customFormat="1" ht="16.5">
      <c r="A326" s="76"/>
      <c r="B326" s="147"/>
      <c r="C326" s="56"/>
      <c r="D326" s="2"/>
      <c r="E326" s="135"/>
      <c r="F326" s="135"/>
      <c r="G326" s="2"/>
      <c r="H326" s="135"/>
      <c r="I326" s="135"/>
      <c r="J326" s="135"/>
      <c r="K326" s="56"/>
      <c r="L326" s="56"/>
    </row>
    <row r="327" spans="1:12" s="52" customFormat="1" ht="16.5">
      <c r="A327" s="76"/>
      <c r="B327" s="147"/>
      <c r="C327" s="54"/>
      <c r="D327" s="136"/>
      <c r="E327" s="2"/>
      <c r="F327" s="2"/>
      <c r="G327" s="2"/>
      <c r="H327" s="136"/>
      <c r="I327" s="136"/>
      <c r="J327" s="136"/>
      <c r="K327" s="54"/>
      <c r="L327" s="54"/>
    </row>
    <row r="328" spans="1:12" s="52" customFormat="1" ht="16.5">
      <c r="A328" s="76"/>
      <c r="B328" s="147"/>
      <c r="C328" s="56"/>
      <c r="D328" s="136"/>
      <c r="E328" s="2"/>
      <c r="F328" s="2"/>
      <c r="G328" s="2"/>
      <c r="H328" s="135"/>
      <c r="I328" s="135"/>
      <c r="J328" s="135"/>
      <c r="K328" s="56"/>
      <c r="L328" s="56"/>
    </row>
    <row r="329" spans="1:12" s="52" customFormat="1" ht="16.5">
      <c r="A329" s="76"/>
      <c r="B329" s="147"/>
      <c r="C329" s="54"/>
      <c r="D329" s="136"/>
      <c r="E329" s="2"/>
      <c r="F329" s="2"/>
      <c r="G329" s="2"/>
      <c r="H329" s="136"/>
      <c r="I329" s="136"/>
      <c r="J329" s="136"/>
      <c r="K329" s="54"/>
      <c r="L329" s="54"/>
    </row>
    <row r="330" spans="1:12" s="52" customFormat="1" ht="16.5">
      <c r="A330" s="76"/>
      <c r="B330" s="147"/>
      <c r="C330" s="56"/>
      <c r="D330" s="136"/>
      <c r="E330" s="2"/>
      <c r="F330" s="2"/>
      <c r="G330" s="2"/>
      <c r="H330" s="135"/>
      <c r="I330" s="135"/>
      <c r="J330" s="135"/>
      <c r="K330" s="56"/>
      <c r="L330" s="56"/>
    </row>
    <row r="331" spans="1:12" s="52" customFormat="1" ht="16.5">
      <c r="A331" s="76"/>
      <c r="B331" s="147"/>
      <c r="C331" s="54"/>
      <c r="D331" s="2"/>
      <c r="E331" s="2"/>
      <c r="F331" s="2"/>
      <c r="G331" s="2"/>
      <c r="H331" s="136"/>
      <c r="I331" s="136"/>
      <c r="J331" s="136"/>
      <c r="K331" s="54"/>
      <c r="L331" s="54"/>
    </row>
    <row r="332" spans="1:12" s="52" customFormat="1" ht="16.5">
      <c r="A332" s="76"/>
      <c r="B332" s="147"/>
      <c r="C332" s="56"/>
      <c r="D332" s="2"/>
      <c r="E332" s="2"/>
      <c r="F332" s="2"/>
      <c r="G332" s="2"/>
      <c r="H332" s="135"/>
      <c r="I332" s="135"/>
      <c r="J332" s="135"/>
      <c r="K332" s="135"/>
      <c r="L332" s="135"/>
    </row>
    <row r="333" spans="1:12" s="52" customFormat="1" ht="16.5">
      <c r="A333" s="76"/>
      <c r="B333" s="147"/>
      <c r="C333" s="54"/>
      <c r="D333" s="2"/>
      <c r="E333" s="2"/>
      <c r="F333" s="2"/>
      <c r="G333" s="2"/>
      <c r="H333" s="136"/>
      <c r="I333" s="136"/>
      <c r="J333" s="136"/>
      <c r="K333" s="54"/>
      <c r="L333" s="54"/>
    </row>
    <row r="334" spans="1:12" s="52" customFormat="1" ht="16.5">
      <c r="A334" s="76"/>
      <c r="B334" s="147"/>
      <c r="C334" s="56"/>
      <c r="D334" s="2"/>
      <c r="E334" s="2"/>
      <c r="F334" s="2"/>
      <c r="G334" s="2"/>
      <c r="H334" s="135"/>
      <c r="I334" s="135"/>
      <c r="J334" s="135"/>
      <c r="K334" s="135"/>
      <c r="L334" s="135"/>
    </row>
    <row r="335" spans="1:12" s="52" customFormat="1" ht="16.5">
      <c r="A335" s="76"/>
      <c r="B335" s="147"/>
      <c r="C335" s="54"/>
      <c r="D335" s="2"/>
      <c r="E335" s="2"/>
      <c r="F335" s="2"/>
      <c r="G335" s="2"/>
      <c r="H335" s="136"/>
      <c r="I335" s="136"/>
      <c r="J335" s="136"/>
      <c r="K335" s="54"/>
      <c r="L335" s="54"/>
    </row>
    <row r="336" spans="1:12" s="52" customFormat="1" ht="16.5">
      <c r="A336" s="76"/>
      <c r="B336" s="147"/>
      <c r="C336" s="56"/>
      <c r="D336" s="2"/>
      <c r="E336" s="2"/>
      <c r="F336" s="2"/>
      <c r="G336" s="2"/>
      <c r="H336" s="135"/>
      <c r="I336" s="135"/>
      <c r="J336" s="135"/>
      <c r="K336" s="135"/>
      <c r="L336" s="135"/>
    </row>
    <row r="337" spans="1:12" s="52" customFormat="1" ht="16.5">
      <c r="A337" s="76"/>
      <c r="B337" s="147"/>
      <c r="C337" s="54"/>
      <c r="D337" s="2"/>
      <c r="E337" s="2"/>
      <c r="F337" s="2"/>
      <c r="G337" s="2"/>
      <c r="H337" s="136"/>
      <c r="I337" s="136"/>
      <c r="J337" s="136"/>
      <c r="K337" s="54"/>
      <c r="L337" s="54"/>
    </row>
    <row r="338" spans="1:12" s="52" customFormat="1" ht="16.5">
      <c r="A338" s="76"/>
      <c r="B338" s="147"/>
      <c r="C338" s="56"/>
      <c r="D338" s="2"/>
      <c r="E338" s="2"/>
      <c r="F338" s="2"/>
      <c r="G338" s="2"/>
      <c r="H338" s="135"/>
      <c r="I338" s="135"/>
      <c r="J338" s="135"/>
      <c r="K338" s="135"/>
      <c r="L338" s="135"/>
    </row>
    <row r="339" spans="1:12" s="52" customFormat="1" ht="16.5">
      <c r="A339" s="76"/>
      <c r="B339" s="147"/>
      <c r="C339" s="54"/>
      <c r="D339" s="2"/>
      <c r="E339" s="2"/>
      <c r="F339" s="2"/>
      <c r="G339" s="2"/>
      <c r="H339" s="136"/>
      <c r="I339" s="136"/>
      <c r="J339" s="136"/>
      <c r="K339" s="54"/>
      <c r="L339" s="54"/>
    </row>
    <row r="340" spans="1:12" s="52" customFormat="1" ht="16.5">
      <c r="A340" s="76"/>
      <c r="B340" s="147"/>
      <c r="C340" s="56"/>
      <c r="D340" s="2"/>
      <c r="E340" s="2"/>
      <c r="F340" s="2"/>
      <c r="G340" s="2"/>
      <c r="H340" s="135"/>
      <c r="I340" s="135"/>
      <c r="J340" s="135"/>
      <c r="K340" s="135"/>
      <c r="L340" s="135"/>
    </row>
    <row r="341" spans="1:12" s="52" customFormat="1" ht="16.5">
      <c r="A341" s="76"/>
      <c r="B341" s="147"/>
      <c r="C341" s="54"/>
      <c r="D341" s="2"/>
      <c r="E341" s="2"/>
      <c r="F341" s="2"/>
      <c r="G341" s="2"/>
      <c r="H341" s="136"/>
      <c r="I341" s="136"/>
      <c r="J341" s="136"/>
      <c r="K341" s="54"/>
      <c r="L341" s="54"/>
    </row>
    <row r="342" spans="1:12" s="52" customFormat="1" ht="16.5">
      <c r="A342" s="76"/>
      <c r="B342" s="147"/>
      <c r="C342" s="56"/>
      <c r="D342" s="2"/>
      <c r="E342" s="2"/>
      <c r="F342" s="2"/>
      <c r="G342" s="2"/>
      <c r="H342" s="135"/>
      <c r="I342" s="135"/>
      <c r="J342" s="135"/>
      <c r="K342" s="135"/>
      <c r="L342" s="135"/>
    </row>
    <row r="343" spans="1:12" s="52" customFormat="1" ht="16.5">
      <c r="A343" s="76"/>
      <c r="B343" s="147"/>
      <c r="C343" s="54"/>
      <c r="D343" s="2"/>
      <c r="E343" s="2"/>
      <c r="F343" s="2"/>
      <c r="G343" s="2"/>
      <c r="H343" s="136"/>
      <c r="I343" s="136"/>
      <c r="J343" s="136"/>
      <c r="K343" s="54"/>
      <c r="L343" s="54"/>
    </row>
    <row r="344" spans="1:12" s="52" customFormat="1" ht="16.5">
      <c r="A344" s="76"/>
      <c r="B344" s="147"/>
      <c r="C344" s="56"/>
      <c r="D344" s="2"/>
      <c r="E344" s="135"/>
      <c r="F344" s="135"/>
      <c r="G344" s="135"/>
      <c r="H344" s="135"/>
      <c r="I344" s="135"/>
      <c r="J344" s="135"/>
      <c r="K344" s="135"/>
      <c r="L344" s="135"/>
    </row>
    <row r="345" spans="1:12" s="52" customFormat="1" ht="16.5">
      <c r="A345" s="76"/>
      <c r="B345" s="147"/>
      <c r="C345" s="54"/>
      <c r="D345" s="2"/>
      <c r="E345" s="135"/>
      <c r="F345" s="135"/>
      <c r="G345" s="135"/>
      <c r="H345" s="136"/>
      <c r="I345" s="136"/>
      <c r="J345" s="136"/>
      <c r="K345" s="54"/>
      <c r="L345" s="54"/>
    </row>
    <row r="346" spans="1:12" s="52" customFormat="1" ht="16.5">
      <c r="A346" s="76"/>
      <c r="B346" s="147"/>
      <c r="C346" s="56"/>
      <c r="D346" s="2"/>
      <c r="E346" s="2"/>
      <c r="F346" s="2"/>
      <c r="G346" s="2"/>
      <c r="H346" s="135"/>
      <c r="I346" s="135"/>
      <c r="J346" s="135"/>
      <c r="K346" s="135"/>
      <c r="L346" s="135"/>
    </row>
    <row r="347" spans="1:12" s="52" customFormat="1" ht="16.5">
      <c r="A347" s="76"/>
      <c r="B347" s="147"/>
      <c r="C347" s="54"/>
      <c r="D347" s="2"/>
      <c r="E347" s="2"/>
      <c r="F347" s="2"/>
      <c r="G347" s="2"/>
      <c r="H347" s="136"/>
      <c r="I347" s="136"/>
      <c r="J347" s="136"/>
      <c r="K347" s="54"/>
      <c r="L347" s="54"/>
    </row>
    <row r="348" spans="1:12" s="52" customFormat="1" ht="16.5">
      <c r="A348" s="76"/>
      <c r="B348" s="147"/>
      <c r="C348" s="56"/>
      <c r="D348" s="2"/>
      <c r="E348" s="2"/>
      <c r="F348" s="2"/>
      <c r="G348" s="2"/>
      <c r="H348" s="135"/>
      <c r="I348" s="135"/>
      <c r="J348" s="135"/>
      <c r="K348" s="135"/>
      <c r="L348" s="135"/>
    </row>
    <row r="349" spans="1:12" s="52" customFormat="1" ht="16.5">
      <c r="A349" s="76"/>
      <c r="B349" s="147"/>
      <c r="C349" s="54"/>
      <c r="D349" s="2"/>
      <c r="E349" s="2"/>
      <c r="F349" s="2"/>
      <c r="G349" s="2"/>
      <c r="H349" s="136"/>
      <c r="I349" s="136"/>
      <c r="J349" s="136"/>
      <c r="K349" s="54"/>
      <c r="L349" s="54"/>
    </row>
    <row r="350" spans="1:12" s="52" customFormat="1" ht="16.5">
      <c r="A350" s="76"/>
      <c r="B350" s="147"/>
      <c r="C350" s="56"/>
      <c r="D350" s="2"/>
      <c r="E350" s="2"/>
      <c r="F350" s="2"/>
      <c r="G350" s="2"/>
      <c r="H350" s="135"/>
      <c r="I350" s="135"/>
      <c r="J350" s="135"/>
      <c r="K350" s="135"/>
      <c r="L350" s="135"/>
    </row>
    <row r="351" spans="1:12" s="52" customFormat="1" ht="16.5">
      <c r="A351" s="76"/>
      <c r="B351" s="147"/>
      <c r="C351" s="54"/>
      <c r="D351" s="2"/>
      <c r="E351" s="2"/>
      <c r="F351" s="2"/>
      <c r="G351" s="2"/>
      <c r="H351" s="136"/>
      <c r="I351" s="136"/>
      <c r="J351" s="136"/>
      <c r="K351" s="54"/>
      <c r="L351" s="54"/>
    </row>
    <row r="352" spans="1:12" s="52" customFormat="1" ht="16.5">
      <c r="A352" s="76"/>
      <c r="B352" s="147"/>
      <c r="C352" s="56"/>
      <c r="D352" s="2"/>
      <c r="E352" s="2"/>
      <c r="F352" s="2"/>
      <c r="G352" s="2"/>
      <c r="H352" s="135"/>
      <c r="I352" s="135"/>
      <c r="J352" s="135"/>
      <c r="K352" s="135"/>
      <c r="L352" s="135"/>
    </row>
    <row r="353" spans="1:12" s="52" customFormat="1" ht="16.5">
      <c r="A353" s="76"/>
      <c r="B353" s="147"/>
      <c r="C353" s="54"/>
      <c r="D353" s="2"/>
      <c r="E353" s="2"/>
      <c r="F353" s="2"/>
      <c r="G353" s="2"/>
      <c r="H353" s="136"/>
      <c r="I353" s="136"/>
      <c r="J353" s="136"/>
      <c r="K353" s="54"/>
      <c r="L353" s="54"/>
    </row>
    <row r="354" spans="1:12" s="52" customFormat="1" ht="16.5">
      <c r="A354" s="76"/>
      <c r="B354" s="147"/>
      <c r="C354" s="56"/>
      <c r="D354" s="2"/>
      <c r="E354" s="2"/>
      <c r="F354" s="2"/>
      <c r="G354" s="2"/>
      <c r="H354" s="135"/>
      <c r="I354" s="135"/>
      <c r="J354" s="135"/>
      <c r="K354" s="135"/>
      <c r="L354" s="135"/>
    </row>
    <row r="355" spans="1:12" s="52" customFormat="1" ht="16.5">
      <c r="A355" s="76"/>
      <c r="B355" s="147"/>
      <c r="C355" s="54"/>
      <c r="D355" s="2"/>
      <c r="E355" s="2"/>
      <c r="F355" s="2"/>
      <c r="G355" s="2"/>
      <c r="H355" s="136"/>
      <c r="I355" s="136"/>
      <c r="J355" s="136"/>
      <c r="K355" s="54"/>
      <c r="L355" s="54"/>
    </row>
    <row r="356" spans="1:12" s="52" customFormat="1" ht="16.5">
      <c r="A356" s="76"/>
      <c r="B356" s="147"/>
      <c r="C356" s="56"/>
      <c r="D356" s="2"/>
      <c r="E356" s="2"/>
      <c r="F356" s="2"/>
      <c r="G356" s="2"/>
      <c r="H356" s="135"/>
      <c r="I356" s="135"/>
      <c r="J356" s="135"/>
      <c r="K356" s="56"/>
      <c r="L356" s="56"/>
    </row>
    <row r="357" spans="1:12" s="52" customFormat="1" ht="16.5">
      <c r="A357" s="76"/>
      <c r="B357" s="147"/>
      <c r="C357" s="54"/>
      <c r="D357" s="2"/>
      <c r="E357" s="2"/>
      <c r="F357" s="2"/>
      <c r="G357" s="2"/>
      <c r="H357" s="136"/>
      <c r="I357" s="136"/>
      <c r="J357" s="136"/>
      <c r="K357" s="54"/>
      <c r="L357" s="54"/>
    </row>
    <row r="358" spans="1:12" s="52" customFormat="1" ht="16.5">
      <c r="A358" s="76"/>
      <c r="B358" s="147"/>
      <c r="C358" s="56"/>
      <c r="D358" s="2"/>
      <c r="E358" s="2"/>
      <c r="F358" s="2"/>
      <c r="G358" s="2"/>
      <c r="H358" s="135"/>
      <c r="I358" s="135"/>
      <c r="J358" s="135"/>
      <c r="K358" s="56"/>
      <c r="L358" s="56"/>
    </row>
    <row r="359" spans="1:12" s="52" customFormat="1" ht="16.5">
      <c r="A359" s="76"/>
      <c r="B359" s="147"/>
      <c r="C359" s="54"/>
      <c r="D359" s="2"/>
      <c r="E359" s="2"/>
      <c r="F359" s="2"/>
      <c r="G359" s="2"/>
      <c r="H359" s="136"/>
      <c r="I359" s="136"/>
      <c r="J359" s="136"/>
      <c r="K359" s="54"/>
      <c r="L359" s="54"/>
    </row>
    <row r="360" spans="1:12" s="52" customFormat="1" ht="16.5">
      <c r="A360" s="76"/>
      <c r="B360" s="147"/>
      <c r="C360" s="56"/>
      <c r="D360" s="2"/>
      <c r="E360" s="2"/>
      <c r="F360" s="2"/>
      <c r="G360" s="2"/>
      <c r="H360" s="135"/>
      <c r="I360" s="135"/>
      <c r="J360" s="135"/>
      <c r="K360" s="56"/>
      <c r="L360" s="56"/>
    </row>
    <row r="361" spans="1:12" s="52" customFormat="1" ht="16.5">
      <c r="A361" s="76"/>
      <c r="B361" s="147"/>
      <c r="C361" s="54"/>
      <c r="D361" s="2"/>
      <c r="E361" s="2"/>
      <c r="F361" s="2"/>
      <c r="G361" s="2"/>
      <c r="H361" s="136"/>
      <c r="I361" s="136"/>
      <c r="J361" s="136"/>
      <c r="K361" s="54"/>
      <c r="L361" s="54"/>
    </row>
    <row r="362" spans="1:12" s="52" customFormat="1" ht="16.5">
      <c r="A362" s="76"/>
      <c r="B362" s="147"/>
      <c r="C362" s="56"/>
      <c r="D362" s="2"/>
      <c r="E362" s="2"/>
      <c r="F362" s="2"/>
      <c r="G362" s="2"/>
      <c r="H362" s="135"/>
      <c r="I362" s="135"/>
      <c r="J362" s="135"/>
      <c r="K362" s="56"/>
      <c r="L362" s="56"/>
    </row>
    <row r="363" spans="1:12" s="52" customFormat="1" ht="16.5">
      <c r="A363" s="76"/>
      <c r="B363" s="147"/>
      <c r="C363" s="54"/>
      <c r="D363" s="136"/>
      <c r="E363" s="2"/>
      <c r="F363" s="2"/>
      <c r="G363" s="2"/>
      <c r="H363" s="136"/>
      <c r="I363" s="136"/>
      <c r="J363" s="136"/>
      <c r="K363" s="54"/>
      <c r="L363" s="54"/>
    </row>
    <row r="364" spans="1:12" s="52" customFormat="1" ht="16.5">
      <c r="A364" s="76"/>
      <c r="B364" s="147"/>
      <c r="C364" s="56"/>
      <c r="D364" s="136"/>
      <c r="E364" s="2"/>
      <c r="F364" s="2"/>
      <c r="G364" s="2"/>
      <c r="H364" s="135"/>
      <c r="I364" s="135"/>
      <c r="J364" s="135"/>
      <c r="K364" s="56"/>
      <c r="L364" s="56"/>
    </row>
    <row r="365" spans="1:12" s="52" customFormat="1" ht="16.5">
      <c r="A365" s="76"/>
      <c r="B365" s="147"/>
      <c r="C365" s="54"/>
      <c r="D365" s="136"/>
      <c r="E365" s="2"/>
      <c r="F365" s="2"/>
      <c r="G365" s="2"/>
      <c r="H365" s="136"/>
      <c r="I365" s="136"/>
      <c r="J365" s="136"/>
      <c r="K365" s="54"/>
      <c r="L365" s="54"/>
    </row>
    <row r="366" spans="1:12" s="52" customFormat="1" ht="16.5">
      <c r="A366" s="76"/>
      <c r="B366" s="147"/>
      <c r="C366" s="56"/>
      <c r="D366" s="136"/>
      <c r="E366" s="2"/>
      <c r="F366" s="2"/>
      <c r="G366" s="2"/>
      <c r="H366" s="135"/>
      <c r="I366" s="135"/>
      <c r="J366" s="135"/>
      <c r="K366" s="56"/>
      <c r="L366" s="56"/>
    </row>
    <row r="367" spans="1:12" s="52" customFormat="1" ht="16.5">
      <c r="A367" s="76"/>
      <c r="B367" s="147"/>
      <c r="C367" s="54"/>
      <c r="D367" s="136"/>
      <c r="E367" s="2"/>
      <c r="F367" s="2"/>
      <c r="G367" s="2"/>
      <c r="H367" s="136"/>
      <c r="I367" s="136"/>
      <c r="J367" s="136"/>
      <c r="K367" s="54"/>
      <c r="L367" s="54"/>
    </row>
    <row r="368" spans="1:12" s="52" customFormat="1" ht="16.5">
      <c r="A368" s="76"/>
      <c r="B368" s="147"/>
      <c r="C368" s="56"/>
      <c r="D368" s="136"/>
      <c r="E368" s="2"/>
      <c r="F368" s="2"/>
      <c r="G368" s="2"/>
      <c r="H368" s="135"/>
      <c r="I368" s="135"/>
      <c r="J368" s="135"/>
      <c r="K368" s="56"/>
      <c r="L368" s="56"/>
    </row>
    <row r="369" spans="1:12" s="52" customFormat="1" ht="16.5">
      <c r="A369" s="76"/>
      <c r="B369" s="147"/>
      <c r="C369" s="54"/>
      <c r="D369" s="2"/>
      <c r="E369" s="2"/>
      <c r="F369" s="2"/>
      <c r="G369" s="2"/>
      <c r="H369" s="136"/>
      <c r="I369" s="136"/>
      <c r="J369" s="136"/>
      <c r="K369" s="54"/>
      <c r="L369" s="54"/>
    </row>
    <row r="370" spans="1:12" s="52" customFormat="1" ht="16.5">
      <c r="A370" s="76"/>
      <c r="B370" s="147"/>
      <c r="C370" s="56"/>
      <c r="D370" s="2"/>
      <c r="E370" s="2"/>
      <c r="F370" s="2"/>
      <c r="G370" s="2"/>
      <c r="H370" s="135"/>
      <c r="I370" s="135"/>
      <c r="J370" s="135"/>
      <c r="K370" s="135"/>
      <c r="L370" s="135"/>
    </row>
    <row r="371" spans="1:12" s="52" customFormat="1" ht="16.5">
      <c r="A371" s="76"/>
      <c r="B371" s="147"/>
      <c r="C371" s="54"/>
      <c r="D371" s="2"/>
      <c r="E371" s="2"/>
      <c r="F371" s="2"/>
      <c r="G371" s="2"/>
      <c r="H371" s="136"/>
      <c r="I371" s="136"/>
      <c r="J371" s="136"/>
      <c r="K371" s="54"/>
      <c r="L371" s="54"/>
    </row>
    <row r="372" spans="1:12" s="52" customFormat="1" ht="16.5">
      <c r="A372" s="76"/>
      <c r="B372" s="147"/>
      <c r="C372" s="56"/>
      <c r="D372" s="2"/>
      <c r="E372" s="2"/>
      <c r="F372" s="2"/>
      <c r="G372" s="2"/>
      <c r="H372" s="135"/>
      <c r="I372" s="135"/>
      <c r="J372" s="135"/>
      <c r="K372" s="135"/>
      <c r="L372" s="135"/>
    </row>
    <row r="373" spans="1:12" s="52" customFormat="1" ht="16.5">
      <c r="A373" s="76"/>
      <c r="B373" s="147"/>
      <c r="C373" s="54"/>
      <c r="D373" s="2"/>
      <c r="E373" s="2"/>
      <c r="F373" s="2"/>
      <c r="G373" s="2"/>
      <c r="H373" s="136"/>
      <c r="I373" s="136"/>
      <c r="J373" s="136"/>
      <c r="K373" s="54"/>
      <c r="L373" s="54"/>
    </row>
    <row r="374" spans="1:12" s="52" customFormat="1" ht="16.5">
      <c r="A374" s="76"/>
      <c r="B374" s="147"/>
      <c r="C374" s="56"/>
      <c r="D374" s="2"/>
      <c r="E374" s="2"/>
      <c r="F374" s="2"/>
      <c r="G374" s="2"/>
      <c r="H374" s="135"/>
      <c r="I374" s="135"/>
      <c r="J374" s="135"/>
      <c r="K374" s="135"/>
      <c r="L374" s="135"/>
    </row>
    <row r="375" spans="1:12" s="52" customFormat="1" ht="16.5">
      <c r="A375" s="76"/>
      <c r="B375" s="147"/>
      <c r="C375" s="54"/>
      <c r="D375" s="2"/>
      <c r="E375" s="2"/>
      <c r="F375" s="2"/>
      <c r="G375" s="2"/>
      <c r="H375" s="136"/>
      <c r="I375" s="136"/>
      <c r="J375" s="136"/>
      <c r="K375" s="54"/>
      <c r="L375" s="54"/>
    </row>
    <row r="376" spans="1:12" s="52" customFormat="1" ht="16.5">
      <c r="A376" s="76"/>
      <c r="B376" s="147"/>
      <c r="C376" s="56"/>
      <c r="D376" s="2"/>
      <c r="E376" s="2"/>
      <c r="F376" s="2"/>
      <c r="G376" s="2"/>
      <c r="H376" s="135"/>
      <c r="I376" s="135"/>
      <c r="J376" s="135"/>
      <c r="K376" s="135"/>
      <c r="L376" s="135"/>
    </row>
    <row r="377" spans="1:12" s="52" customFormat="1" ht="16.5">
      <c r="A377" s="76"/>
      <c r="B377" s="147"/>
      <c r="C377" s="54"/>
      <c r="D377" s="2"/>
      <c r="E377" s="2"/>
      <c r="F377" s="2"/>
      <c r="G377" s="2"/>
      <c r="H377" s="136"/>
      <c r="I377" s="136"/>
      <c r="J377" s="136"/>
      <c r="K377" s="54"/>
      <c r="L377" s="54"/>
    </row>
    <row r="378" spans="1:12" s="52" customFormat="1" ht="16.5">
      <c r="A378" s="76"/>
      <c r="B378" s="147"/>
      <c r="C378" s="56"/>
      <c r="D378" s="2"/>
      <c r="E378" s="2"/>
      <c r="F378" s="2"/>
      <c r="G378" s="2"/>
      <c r="H378" s="135"/>
      <c r="I378" s="135"/>
      <c r="J378" s="135"/>
      <c r="K378" s="135"/>
      <c r="L378" s="135"/>
    </row>
    <row r="379" spans="1:12" s="52" customFormat="1" ht="16.5">
      <c r="A379" s="76"/>
      <c r="B379" s="147"/>
      <c r="C379" s="54"/>
      <c r="D379" s="2"/>
      <c r="E379" s="2"/>
      <c r="F379" s="2"/>
      <c r="G379" s="2"/>
      <c r="H379" s="136"/>
      <c r="I379" s="136"/>
      <c r="J379" s="136"/>
      <c r="K379" s="54"/>
      <c r="L379" s="54"/>
    </row>
    <row r="380" spans="1:12" s="52" customFormat="1" ht="16.5">
      <c r="A380" s="76"/>
      <c r="B380" s="147"/>
      <c r="C380" s="56"/>
      <c r="D380" s="2"/>
      <c r="E380" s="2"/>
      <c r="F380" s="2"/>
      <c r="G380" s="2"/>
      <c r="H380" s="135"/>
      <c r="I380" s="135"/>
      <c r="J380" s="135"/>
      <c r="K380" s="56"/>
      <c r="L380" s="56"/>
    </row>
    <row r="381" spans="1:12" s="52" customFormat="1" ht="16.5">
      <c r="A381" s="76"/>
      <c r="B381" s="147"/>
      <c r="C381" s="54"/>
      <c r="D381" s="2"/>
      <c r="E381" s="2"/>
      <c r="F381" s="2"/>
      <c r="G381" s="2"/>
      <c r="H381" s="136"/>
      <c r="I381" s="136"/>
      <c r="J381" s="136"/>
      <c r="K381" s="54"/>
      <c r="L381" s="54"/>
    </row>
    <row r="382" spans="1:12" s="52" customFormat="1" ht="16.5">
      <c r="A382" s="76"/>
      <c r="B382" s="147"/>
      <c r="C382" s="56"/>
      <c r="D382" s="2"/>
      <c r="E382" s="2"/>
      <c r="F382" s="2"/>
      <c r="G382" s="2"/>
      <c r="H382" s="135"/>
      <c r="I382" s="135"/>
      <c r="J382" s="135"/>
      <c r="K382" s="135"/>
      <c r="L382" s="135"/>
    </row>
    <row r="383" spans="1:12" s="52" customFormat="1" ht="16.5">
      <c r="A383" s="76"/>
      <c r="B383" s="147"/>
      <c r="C383" s="54"/>
      <c r="D383" s="2"/>
      <c r="E383" s="2"/>
      <c r="F383" s="2"/>
      <c r="G383" s="2"/>
      <c r="H383" s="136"/>
      <c r="I383" s="136"/>
      <c r="J383" s="136"/>
      <c r="K383" s="54"/>
      <c r="L383" s="54"/>
    </row>
    <row r="384" spans="1:12" s="52" customFormat="1" ht="16.5">
      <c r="A384" s="76"/>
      <c r="B384" s="147"/>
      <c r="C384" s="56"/>
      <c r="D384" s="2"/>
      <c r="E384" s="2"/>
      <c r="F384" s="2"/>
      <c r="G384" s="2"/>
      <c r="H384" s="135"/>
      <c r="I384" s="135"/>
      <c r="J384" s="135"/>
      <c r="K384" s="135"/>
      <c r="L384" s="135"/>
    </row>
    <row r="385" spans="1:12" s="129" customFormat="1" ht="16.5">
      <c r="A385" s="76"/>
      <c r="B385" s="147"/>
      <c r="C385" s="54"/>
      <c r="D385" s="2"/>
      <c r="E385" s="2"/>
      <c r="F385" s="2"/>
      <c r="G385" s="2"/>
      <c r="H385" s="136"/>
      <c r="I385" s="136"/>
      <c r="J385" s="136"/>
      <c r="K385" s="54"/>
      <c r="L385" s="54"/>
    </row>
    <row r="386" spans="1:12" s="129" customFormat="1" ht="16.5">
      <c r="A386" s="76"/>
      <c r="B386" s="147"/>
      <c r="C386" s="56"/>
      <c r="D386" s="2"/>
      <c r="E386" s="135"/>
      <c r="F386" s="135"/>
      <c r="G386" s="135"/>
      <c r="H386" s="135"/>
      <c r="I386" s="135"/>
      <c r="J386" s="135"/>
      <c r="K386" s="135"/>
      <c r="L386" s="135"/>
    </row>
    <row r="387" spans="1:12" s="129" customFormat="1" ht="16.5">
      <c r="A387" s="76"/>
      <c r="B387" s="147"/>
      <c r="C387" s="54"/>
      <c r="D387" s="2"/>
      <c r="E387" s="2"/>
      <c r="F387" s="2"/>
      <c r="G387" s="2"/>
      <c r="H387" s="136"/>
      <c r="I387" s="136"/>
      <c r="J387" s="136"/>
      <c r="K387" s="54"/>
      <c r="L387" s="54"/>
    </row>
    <row r="388" spans="1:12" s="129" customFormat="1" ht="16.5">
      <c r="A388" s="76"/>
      <c r="B388" s="147"/>
      <c r="C388" s="56"/>
      <c r="D388" s="2"/>
      <c r="E388" s="2"/>
      <c r="F388" s="2"/>
      <c r="G388" s="2"/>
      <c r="H388" s="135"/>
      <c r="I388" s="135"/>
      <c r="J388" s="135"/>
      <c r="K388" s="135"/>
      <c r="L388" s="135"/>
    </row>
    <row r="389" spans="1:12" s="129" customFormat="1" ht="16.5">
      <c r="A389" s="76"/>
      <c r="B389" s="147"/>
      <c r="C389" s="54"/>
      <c r="D389" s="2"/>
      <c r="E389" s="135"/>
      <c r="F389" s="135"/>
      <c r="G389" s="135"/>
      <c r="H389" s="136"/>
      <c r="I389" s="136"/>
      <c r="J389" s="136"/>
      <c r="K389" s="54"/>
      <c r="L389" s="54"/>
    </row>
    <row r="390" spans="1:12" s="129" customFormat="1" ht="16.5">
      <c r="A390" s="76"/>
      <c r="B390" s="147"/>
      <c r="C390" s="56"/>
      <c r="D390" s="2"/>
      <c r="E390" s="2"/>
      <c r="F390" s="2"/>
      <c r="G390" s="2"/>
      <c r="H390" s="135"/>
      <c r="I390" s="135"/>
      <c r="J390" s="135"/>
      <c r="K390" s="135"/>
      <c r="L390" s="135"/>
    </row>
    <row r="391" spans="1:12" s="129" customFormat="1" ht="16.5">
      <c r="A391" s="76"/>
      <c r="B391" s="147"/>
      <c r="C391" s="54"/>
      <c r="D391" s="2"/>
      <c r="E391" s="2"/>
      <c r="F391" s="2"/>
      <c r="G391" s="2"/>
      <c r="H391" s="136"/>
      <c r="I391" s="136"/>
      <c r="J391" s="136"/>
      <c r="K391" s="54"/>
      <c r="L391" s="54"/>
    </row>
    <row r="392" spans="1:12" s="129" customFormat="1" ht="16.5">
      <c r="A392" s="76"/>
      <c r="B392" s="147"/>
      <c r="C392" s="56"/>
      <c r="D392" s="2"/>
      <c r="E392" s="135"/>
      <c r="F392" s="135"/>
      <c r="G392" s="135"/>
      <c r="H392" s="135"/>
      <c r="I392" s="135"/>
      <c r="J392" s="135"/>
      <c r="K392" s="135"/>
      <c r="L392" s="135"/>
    </row>
    <row r="393" spans="1:12" s="129" customFormat="1" ht="16.5">
      <c r="A393" s="76"/>
      <c r="B393" s="147"/>
      <c r="C393" s="54"/>
      <c r="D393" s="2"/>
      <c r="E393" s="2"/>
      <c r="F393" s="2"/>
      <c r="G393" s="2"/>
      <c r="H393" s="136"/>
      <c r="I393" s="136"/>
      <c r="J393" s="136"/>
      <c r="K393" s="54"/>
      <c r="L393" s="54"/>
    </row>
    <row r="394" spans="1:12" s="129" customFormat="1" ht="16.5">
      <c r="A394" s="76"/>
      <c r="B394" s="147"/>
      <c r="C394" s="56"/>
      <c r="D394" s="136"/>
      <c r="E394" s="2"/>
      <c r="F394" s="2"/>
      <c r="G394" s="2"/>
      <c r="H394" s="135"/>
      <c r="I394" s="135"/>
      <c r="J394" s="135"/>
      <c r="K394" s="56"/>
      <c r="L394" s="56"/>
    </row>
    <row r="395" spans="1:12" s="129" customFormat="1" ht="16.5">
      <c r="A395" s="76"/>
      <c r="B395" s="147"/>
      <c r="C395" s="54"/>
      <c r="D395" s="136"/>
      <c r="E395" s="2"/>
      <c r="F395" s="2"/>
      <c r="G395" s="2"/>
      <c r="H395" s="136"/>
      <c r="I395" s="136"/>
      <c r="J395" s="136"/>
      <c r="K395" s="54"/>
      <c r="L395" s="54"/>
    </row>
    <row r="396" spans="1:12" s="129" customFormat="1">
      <c r="A396" s="76"/>
      <c r="B396" s="147"/>
      <c r="C396" s="2"/>
      <c r="D396" s="162"/>
      <c r="E396" s="2"/>
      <c r="F396" s="2"/>
      <c r="G396" s="2"/>
      <c r="H396" s="2"/>
      <c r="I396" s="163"/>
      <c r="J396" s="17"/>
      <c r="K396" s="2"/>
      <c r="L396" s="2"/>
    </row>
    <row r="397" spans="1:12" s="129" customFormat="1">
      <c r="A397" s="76"/>
      <c r="B397" s="147"/>
      <c r="C397" s="2"/>
      <c r="D397" s="162"/>
      <c r="E397" s="2"/>
      <c r="F397" s="2"/>
      <c r="G397" s="2"/>
      <c r="H397" s="2"/>
      <c r="I397" s="163"/>
      <c r="J397" s="17"/>
      <c r="K397" s="2"/>
      <c r="L397" s="2"/>
    </row>
    <row r="398" spans="1:12" s="129" customFormat="1">
      <c r="A398" s="76"/>
      <c r="B398" s="147"/>
      <c r="C398" s="2"/>
      <c r="D398" s="162"/>
      <c r="E398" s="2"/>
      <c r="F398" s="2"/>
      <c r="G398" s="2"/>
      <c r="H398" s="2"/>
      <c r="I398" s="163"/>
      <c r="J398" s="17"/>
      <c r="K398" s="2"/>
      <c r="L398" s="2"/>
    </row>
    <row r="399" spans="1:12" s="129" customFormat="1">
      <c r="A399" s="76"/>
      <c r="B399" s="147"/>
      <c r="C399" s="2"/>
      <c r="D399" s="162"/>
      <c r="E399" s="2"/>
      <c r="F399" s="2"/>
      <c r="G399" s="2"/>
      <c r="H399" s="2"/>
      <c r="I399" s="163"/>
      <c r="J399" s="17"/>
      <c r="K399" s="2"/>
      <c r="L399" s="2"/>
    </row>
    <row r="400" spans="1:12" s="129" customFormat="1">
      <c r="A400" s="76"/>
      <c r="B400" s="147"/>
      <c r="C400" s="2"/>
      <c r="D400" s="162"/>
      <c r="E400" s="2"/>
      <c r="F400" s="2"/>
      <c r="G400" s="2"/>
      <c r="H400" s="2"/>
      <c r="I400" s="163"/>
      <c r="J400" s="17"/>
      <c r="K400" s="2"/>
      <c r="L400" s="2"/>
    </row>
    <row r="401" spans="1:12" s="129" customFormat="1">
      <c r="A401" s="76"/>
      <c r="B401" s="147"/>
      <c r="C401" s="2"/>
      <c r="D401" s="162"/>
      <c r="E401" s="2"/>
      <c r="F401" s="2"/>
      <c r="G401" s="2"/>
      <c r="H401" s="2"/>
      <c r="I401" s="163"/>
      <c r="J401" s="17"/>
      <c r="K401" s="2"/>
      <c r="L401" s="2"/>
    </row>
    <row r="402" spans="1:12" s="129" customFormat="1">
      <c r="A402" s="76"/>
      <c r="B402" s="147"/>
      <c r="C402" s="2"/>
      <c r="D402" s="162"/>
      <c r="E402" s="2"/>
      <c r="F402" s="2"/>
      <c r="G402" s="2"/>
      <c r="H402" s="2"/>
      <c r="I402" s="163"/>
      <c r="J402" s="17"/>
      <c r="K402" s="2"/>
      <c r="L402" s="2"/>
    </row>
    <row r="403" spans="1:12" s="129" customFormat="1">
      <c r="A403" s="76"/>
      <c r="B403" s="147"/>
      <c r="C403" s="2"/>
      <c r="D403" s="162"/>
      <c r="E403" s="2"/>
      <c r="F403" s="2"/>
      <c r="G403" s="2"/>
      <c r="H403" s="2"/>
      <c r="I403" s="163"/>
      <c r="J403" s="17"/>
      <c r="K403" s="2"/>
      <c r="L403" s="2"/>
    </row>
    <row r="404" spans="1:12" s="129" customFormat="1">
      <c r="A404" s="76"/>
      <c r="B404" s="147"/>
      <c r="C404" s="2"/>
      <c r="D404" s="162"/>
      <c r="E404" s="2"/>
      <c r="F404" s="2"/>
      <c r="G404" s="2"/>
      <c r="H404" s="2"/>
      <c r="I404" s="163"/>
      <c r="J404" s="17"/>
      <c r="K404" s="2"/>
      <c r="L404" s="2"/>
    </row>
    <row r="405" spans="1:12" s="129" customFormat="1">
      <c r="A405" s="76"/>
      <c r="B405" s="147"/>
      <c r="C405" s="2"/>
      <c r="D405" s="162"/>
      <c r="E405" s="2"/>
      <c r="F405" s="2"/>
      <c r="G405" s="2"/>
      <c r="H405" s="2"/>
      <c r="I405" s="163"/>
      <c r="J405" s="17"/>
      <c r="K405" s="2"/>
      <c r="L405" s="2"/>
    </row>
    <row r="406" spans="1:12" s="129" customFormat="1">
      <c r="A406" s="76"/>
      <c r="B406" s="147"/>
      <c r="C406" s="2"/>
      <c r="D406" s="162"/>
      <c r="E406" s="2"/>
      <c r="F406" s="2"/>
      <c r="G406" s="2"/>
      <c r="H406" s="2"/>
      <c r="I406" s="163"/>
      <c r="J406" s="17"/>
      <c r="K406" s="2"/>
      <c r="L406" s="2"/>
    </row>
    <row r="407" spans="1:12" s="129" customFormat="1">
      <c r="A407" s="76"/>
      <c r="B407" s="147"/>
      <c r="C407" s="2"/>
      <c r="D407" s="162"/>
      <c r="E407" s="2"/>
      <c r="F407" s="2"/>
      <c r="G407" s="2"/>
      <c r="H407" s="2"/>
      <c r="I407" s="163"/>
      <c r="J407" s="17"/>
      <c r="K407" s="2"/>
      <c r="L407" s="2"/>
    </row>
    <row r="408" spans="1:12" s="129" customFormat="1">
      <c r="A408" s="76"/>
      <c r="B408" s="147"/>
      <c r="C408" s="2"/>
      <c r="D408" s="162"/>
      <c r="E408" s="2"/>
      <c r="F408" s="2"/>
      <c r="G408" s="2"/>
      <c r="H408" s="2"/>
      <c r="I408" s="163"/>
      <c r="J408" s="17"/>
      <c r="K408" s="2"/>
      <c r="L408" s="2"/>
    </row>
    <row r="409" spans="1:12" s="129" customFormat="1">
      <c r="A409" s="76"/>
      <c r="B409" s="147"/>
      <c r="C409" s="2"/>
      <c r="D409" s="162"/>
      <c r="E409" s="2"/>
      <c r="F409" s="2"/>
      <c r="G409" s="2"/>
      <c r="H409" s="2"/>
      <c r="I409" s="163"/>
      <c r="J409" s="17"/>
      <c r="K409" s="2"/>
      <c r="L409" s="2"/>
    </row>
    <row r="410" spans="1:12" s="129" customFormat="1">
      <c r="A410" s="76"/>
      <c r="B410" s="147"/>
      <c r="C410" s="2"/>
      <c r="D410" s="162"/>
      <c r="E410" s="2"/>
      <c r="F410" s="2"/>
      <c r="G410" s="2"/>
      <c r="H410" s="2"/>
      <c r="I410" s="163"/>
      <c r="J410" s="17"/>
      <c r="K410" s="2"/>
      <c r="L410" s="2"/>
    </row>
    <row r="411" spans="1:12" s="129" customFormat="1">
      <c r="A411" s="76"/>
      <c r="B411" s="147"/>
      <c r="C411" s="2"/>
      <c r="D411" s="162"/>
      <c r="E411" s="2"/>
      <c r="F411" s="2"/>
      <c r="G411" s="2"/>
      <c r="H411" s="2"/>
      <c r="I411" s="163"/>
      <c r="J411" s="17"/>
      <c r="K411" s="2"/>
      <c r="L411" s="2"/>
    </row>
    <row r="412" spans="1:12" s="129" customFormat="1">
      <c r="A412" s="76"/>
      <c r="B412" s="147"/>
      <c r="C412" s="2"/>
      <c r="D412" s="162"/>
      <c r="E412" s="2"/>
      <c r="F412" s="2"/>
      <c r="G412" s="2"/>
      <c r="H412" s="2"/>
      <c r="I412" s="163"/>
      <c r="J412" s="17"/>
      <c r="K412" s="2"/>
      <c r="L412" s="2"/>
    </row>
    <row r="413" spans="1:12" s="129" customFormat="1">
      <c r="A413" s="76"/>
      <c r="B413" s="147"/>
      <c r="C413" s="2"/>
      <c r="D413" s="162"/>
      <c r="E413" s="2"/>
      <c r="F413" s="2"/>
      <c r="G413" s="2"/>
      <c r="H413" s="2"/>
      <c r="I413" s="163"/>
      <c r="J413" s="17"/>
      <c r="K413" s="2"/>
      <c r="L413" s="2"/>
    </row>
    <row r="414" spans="1:12" s="129" customFormat="1">
      <c r="A414" s="76"/>
      <c r="B414" s="147"/>
      <c r="C414" s="2"/>
      <c r="D414" s="162"/>
      <c r="E414" s="2"/>
      <c r="F414" s="2"/>
      <c r="G414" s="2"/>
      <c r="H414" s="2"/>
      <c r="I414" s="163"/>
      <c r="J414" s="17"/>
      <c r="K414" s="2"/>
      <c r="L414" s="2"/>
    </row>
    <row r="415" spans="1:12" s="129" customFormat="1">
      <c r="A415" s="76"/>
      <c r="B415" s="147"/>
      <c r="C415" s="2"/>
      <c r="D415" s="162"/>
      <c r="E415" s="2"/>
      <c r="F415" s="2"/>
      <c r="G415" s="2"/>
      <c r="H415" s="2"/>
      <c r="I415" s="163"/>
      <c r="J415" s="17"/>
      <c r="K415" s="2"/>
      <c r="L415" s="2"/>
    </row>
    <row r="416" spans="1:12" s="129" customFormat="1">
      <c r="A416" s="76"/>
      <c r="B416" s="147"/>
      <c r="C416" s="2"/>
      <c r="D416" s="162"/>
      <c r="E416" s="2"/>
      <c r="F416" s="2"/>
      <c r="G416" s="2"/>
      <c r="H416" s="2"/>
      <c r="I416" s="163"/>
      <c r="J416" s="17"/>
      <c r="K416" s="2"/>
      <c r="L416" s="2"/>
    </row>
    <row r="417" spans="1:12" s="129" customFormat="1">
      <c r="A417" s="76"/>
      <c r="B417" s="147"/>
      <c r="C417" s="2"/>
      <c r="D417" s="162"/>
      <c r="E417" s="2"/>
      <c r="F417" s="2"/>
      <c r="G417" s="2"/>
      <c r="H417" s="2"/>
      <c r="I417" s="163"/>
      <c r="J417" s="17"/>
      <c r="K417" s="2"/>
      <c r="L417" s="2"/>
    </row>
    <row r="418" spans="1:12" s="129" customFormat="1">
      <c r="A418" s="76"/>
      <c r="B418" s="147"/>
      <c r="C418" s="2"/>
      <c r="D418" s="162"/>
      <c r="E418" s="2"/>
      <c r="F418" s="2"/>
      <c r="G418" s="2"/>
      <c r="H418" s="2"/>
      <c r="I418" s="163"/>
      <c r="J418" s="17"/>
      <c r="K418" s="2"/>
      <c r="L418" s="2"/>
    </row>
    <row r="419" spans="1:12" s="129" customFormat="1">
      <c r="A419" s="76"/>
      <c r="B419" s="147"/>
      <c r="C419" s="2"/>
      <c r="D419" s="162"/>
      <c r="E419" s="2"/>
      <c r="F419" s="2"/>
      <c r="G419" s="2"/>
      <c r="H419" s="2"/>
      <c r="I419" s="163"/>
      <c r="J419" s="17"/>
      <c r="K419" s="2"/>
      <c r="L419" s="2"/>
    </row>
    <row r="420" spans="1:12" s="129" customFormat="1">
      <c r="A420" s="76"/>
      <c r="B420" s="147"/>
      <c r="C420" s="2"/>
      <c r="D420" s="162"/>
      <c r="E420" s="2"/>
      <c r="F420" s="2"/>
      <c r="G420" s="2"/>
      <c r="H420" s="2"/>
      <c r="I420" s="163"/>
      <c r="J420" s="17"/>
      <c r="K420" s="2"/>
      <c r="L420" s="2"/>
    </row>
    <row r="421" spans="1:12" s="129" customFormat="1">
      <c r="A421" s="76"/>
      <c r="B421" s="147"/>
      <c r="C421" s="2"/>
      <c r="D421" s="162"/>
      <c r="E421" s="2"/>
      <c r="F421" s="2"/>
      <c r="G421" s="2"/>
      <c r="H421" s="2"/>
      <c r="I421" s="163"/>
      <c r="J421" s="17"/>
      <c r="K421" s="2"/>
      <c r="L421" s="2"/>
    </row>
    <row r="422" spans="1:12" s="129" customFormat="1">
      <c r="A422" s="76"/>
      <c r="B422" s="147"/>
      <c r="C422" s="2"/>
      <c r="D422" s="162"/>
      <c r="E422" s="2"/>
      <c r="F422" s="2"/>
      <c r="G422" s="2"/>
      <c r="H422" s="2"/>
      <c r="I422" s="163"/>
      <c r="J422" s="17"/>
      <c r="K422" s="2"/>
      <c r="L422" s="2"/>
    </row>
    <row r="423" spans="1:12" s="129" customFormat="1">
      <c r="A423" s="76"/>
      <c r="B423" s="147"/>
      <c r="C423" s="2"/>
      <c r="D423" s="162"/>
      <c r="E423" s="2"/>
      <c r="F423" s="2"/>
      <c r="G423" s="2"/>
      <c r="H423" s="2"/>
      <c r="I423" s="163"/>
      <c r="J423" s="17"/>
      <c r="K423" s="2"/>
      <c r="L423" s="2"/>
    </row>
    <row r="424" spans="1:12" s="129" customFormat="1">
      <c r="A424" s="76"/>
      <c r="B424" s="147"/>
      <c r="C424" s="2"/>
      <c r="D424" s="162"/>
      <c r="E424" s="2"/>
      <c r="F424" s="2"/>
      <c r="G424" s="2"/>
      <c r="H424" s="2"/>
      <c r="I424" s="163"/>
      <c r="J424" s="17"/>
      <c r="K424" s="2"/>
      <c r="L424" s="2"/>
    </row>
    <row r="425" spans="1:12" s="129" customFormat="1">
      <c r="A425" s="76"/>
      <c r="B425" s="147"/>
      <c r="C425" s="2"/>
      <c r="D425" s="162"/>
      <c r="E425" s="2"/>
      <c r="F425" s="2"/>
      <c r="G425" s="2"/>
      <c r="H425" s="2"/>
      <c r="I425" s="163"/>
      <c r="J425" s="17"/>
      <c r="K425" s="2"/>
      <c r="L425" s="2"/>
    </row>
    <row r="426" spans="1:12" s="129" customFormat="1">
      <c r="A426" s="76"/>
      <c r="B426" s="147"/>
      <c r="C426" s="2"/>
      <c r="D426" s="162"/>
      <c r="E426" s="2"/>
      <c r="F426" s="2"/>
      <c r="G426" s="2"/>
      <c r="H426" s="2"/>
      <c r="I426" s="163"/>
      <c r="J426" s="17"/>
      <c r="K426" s="2"/>
      <c r="L426" s="2"/>
    </row>
    <row r="427" spans="1:12" s="129" customFormat="1">
      <c r="A427" s="76"/>
      <c r="B427" s="147"/>
      <c r="C427" s="2"/>
      <c r="D427" s="162"/>
      <c r="E427" s="2"/>
      <c r="F427" s="2"/>
      <c r="G427" s="2"/>
      <c r="H427" s="2"/>
      <c r="I427" s="163"/>
      <c r="J427" s="17"/>
      <c r="K427" s="2"/>
      <c r="L427" s="2"/>
    </row>
    <row r="428" spans="1:12" s="129" customFormat="1">
      <c r="A428" s="76"/>
      <c r="B428" s="147"/>
      <c r="C428" s="2"/>
      <c r="D428" s="162"/>
      <c r="E428" s="2"/>
      <c r="F428" s="2"/>
      <c r="G428" s="2"/>
      <c r="H428" s="2"/>
      <c r="I428" s="163"/>
      <c r="J428" s="17"/>
      <c r="K428" s="2"/>
      <c r="L428" s="2"/>
    </row>
    <row r="429" spans="1:12" s="129" customFormat="1">
      <c r="A429" s="76"/>
      <c r="B429" s="147"/>
      <c r="C429" s="2"/>
      <c r="D429" s="162"/>
      <c r="E429" s="2"/>
      <c r="F429" s="2"/>
      <c r="G429" s="2"/>
      <c r="H429" s="2"/>
      <c r="I429" s="163"/>
      <c r="J429" s="17"/>
      <c r="K429" s="2"/>
      <c r="L429" s="2"/>
    </row>
    <row r="430" spans="1:12" s="129" customFormat="1">
      <c r="A430" s="76"/>
      <c r="B430" s="147"/>
      <c r="C430" s="2"/>
      <c r="D430" s="162"/>
      <c r="E430" s="2"/>
      <c r="F430" s="2"/>
      <c r="G430" s="2"/>
      <c r="H430" s="2"/>
      <c r="I430" s="163"/>
      <c r="J430" s="17"/>
      <c r="K430" s="2"/>
      <c r="L430" s="2"/>
    </row>
    <row r="431" spans="1:12" s="129" customFormat="1">
      <c r="A431" s="76"/>
      <c r="B431" s="147"/>
      <c r="C431" s="2"/>
      <c r="D431" s="162"/>
      <c r="E431" s="2"/>
      <c r="F431" s="2"/>
      <c r="G431" s="2"/>
      <c r="H431" s="2"/>
      <c r="I431" s="163"/>
      <c r="J431" s="17"/>
      <c r="K431" s="2"/>
      <c r="L431" s="2"/>
    </row>
    <row r="432" spans="1:12" s="129" customFormat="1">
      <c r="A432" s="76"/>
      <c r="B432" s="147"/>
      <c r="C432" s="2"/>
      <c r="D432" s="162"/>
      <c r="E432" s="2"/>
      <c r="F432" s="2"/>
      <c r="G432" s="2"/>
      <c r="H432" s="2"/>
      <c r="I432" s="163"/>
      <c r="J432" s="17"/>
      <c r="K432" s="2"/>
      <c r="L432" s="2"/>
    </row>
    <row r="433" spans="1:12" s="129" customFormat="1">
      <c r="A433" s="76"/>
      <c r="B433" s="147"/>
      <c r="C433" s="2"/>
      <c r="D433" s="162"/>
      <c r="E433" s="2"/>
      <c r="F433" s="2"/>
      <c r="G433" s="2"/>
      <c r="H433" s="2"/>
      <c r="I433" s="163"/>
      <c r="J433" s="17"/>
      <c r="K433" s="2"/>
      <c r="L433" s="2"/>
    </row>
    <row r="434" spans="1:12" s="129" customFormat="1">
      <c r="A434" s="76"/>
      <c r="B434" s="147"/>
      <c r="C434" s="2"/>
      <c r="D434" s="162"/>
      <c r="E434" s="2"/>
      <c r="F434" s="2"/>
      <c r="G434" s="2"/>
      <c r="H434" s="2"/>
      <c r="I434" s="163"/>
      <c r="J434" s="17"/>
      <c r="K434" s="2"/>
      <c r="L434" s="2"/>
    </row>
    <row r="435" spans="1:12" s="129" customFormat="1">
      <c r="A435" s="76"/>
      <c r="B435" s="147"/>
      <c r="C435" s="2"/>
      <c r="D435" s="162"/>
      <c r="E435" s="2"/>
      <c r="F435" s="2"/>
      <c r="G435" s="2"/>
      <c r="H435" s="2"/>
      <c r="I435" s="163"/>
      <c r="J435" s="17"/>
      <c r="K435" s="2"/>
      <c r="L435" s="2"/>
    </row>
    <row r="436" spans="1:12" s="129" customFormat="1">
      <c r="A436" s="76"/>
      <c r="B436" s="147"/>
      <c r="C436" s="2"/>
      <c r="D436" s="162"/>
      <c r="E436" s="2"/>
      <c r="F436" s="2"/>
      <c r="G436" s="2"/>
      <c r="H436" s="2"/>
      <c r="I436" s="163"/>
      <c r="J436" s="17"/>
      <c r="K436" s="2"/>
      <c r="L436" s="2"/>
    </row>
    <row r="437" spans="1:12" s="129" customFormat="1">
      <c r="A437" s="76"/>
      <c r="B437" s="147"/>
      <c r="C437" s="2"/>
      <c r="D437" s="162"/>
      <c r="E437" s="2"/>
      <c r="F437" s="2"/>
      <c r="G437" s="2"/>
      <c r="H437" s="2"/>
      <c r="I437" s="163"/>
      <c r="J437" s="17"/>
      <c r="K437" s="2"/>
      <c r="L437" s="2"/>
    </row>
    <row r="438" spans="1:12" s="129" customFormat="1">
      <c r="A438" s="76"/>
      <c r="B438" s="147"/>
      <c r="C438" s="2"/>
      <c r="D438" s="162"/>
      <c r="E438" s="2"/>
      <c r="F438" s="2"/>
      <c r="G438" s="2"/>
      <c r="H438" s="2"/>
      <c r="I438" s="163"/>
      <c r="J438" s="17"/>
      <c r="K438" s="2"/>
      <c r="L438" s="2"/>
    </row>
    <row r="439" spans="1:12" s="129" customFormat="1">
      <c r="A439" s="76"/>
      <c r="B439" s="147"/>
      <c r="C439" s="2"/>
      <c r="D439" s="162"/>
      <c r="E439" s="2"/>
      <c r="F439" s="2"/>
      <c r="G439" s="2"/>
      <c r="H439" s="2"/>
      <c r="I439" s="163"/>
      <c r="J439" s="17"/>
      <c r="K439" s="2"/>
      <c r="L439" s="2"/>
    </row>
    <row r="440" spans="1:12" s="129" customFormat="1">
      <c r="A440" s="76"/>
      <c r="B440" s="147"/>
      <c r="C440" s="2"/>
      <c r="D440" s="162"/>
      <c r="E440" s="2"/>
      <c r="F440" s="2"/>
      <c r="G440" s="2"/>
      <c r="H440" s="2"/>
      <c r="I440" s="163"/>
      <c r="J440" s="17"/>
      <c r="K440" s="2"/>
      <c r="L440" s="2"/>
    </row>
    <row r="441" spans="1:12" s="129" customFormat="1">
      <c r="A441" s="76"/>
      <c r="B441" s="147"/>
      <c r="C441" s="2"/>
      <c r="D441" s="162"/>
      <c r="E441" s="2"/>
      <c r="F441" s="2"/>
      <c r="G441" s="2"/>
      <c r="H441" s="2"/>
      <c r="I441" s="163"/>
      <c r="J441" s="17"/>
      <c r="K441" s="2"/>
      <c r="L441" s="2"/>
    </row>
    <row r="442" spans="1:12" s="129" customFormat="1">
      <c r="A442" s="76"/>
      <c r="B442" s="147"/>
      <c r="C442" s="2"/>
      <c r="D442" s="162"/>
      <c r="E442" s="2"/>
      <c r="F442" s="2"/>
      <c r="G442" s="2"/>
      <c r="H442" s="2"/>
      <c r="I442" s="163"/>
      <c r="J442" s="17"/>
      <c r="K442" s="2"/>
      <c r="L442" s="2"/>
    </row>
    <row r="443" spans="1:12" s="129" customFormat="1">
      <c r="A443" s="76"/>
      <c r="B443" s="147"/>
      <c r="C443" s="2"/>
      <c r="D443" s="162"/>
      <c r="E443" s="2"/>
      <c r="F443" s="2"/>
      <c r="G443" s="2"/>
      <c r="H443" s="2"/>
      <c r="I443" s="163"/>
      <c r="J443" s="17"/>
      <c r="K443" s="2"/>
      <c r="L443" s="2"/>
    </row>
    <row r="444" spans="1:12" s="129" customFormat="1">
      <c r="A444" s="76"/>
      <c r="B444" s="147"/>
      <c r="C444" s="2"/>
      <c r="D444" s="162"/>
      <c r="E444" s="2"/>
      <c r="F444" s="2"/>
      <c r="G444" s="2"/>
      <c r="H444" s="2"/>
      <c r="I444" s="163"/>
      <c r="J444" s="17"/>
      <c r="K444" s="2"/>
      <c r="L444" s="2"/>
    </row>
    <row r="445" spans="1:12" s="129" customFormat="1">
      <c r="A445" s="76"/>
      <c r="B445" s="147"/>
      <c r="C445" s="2"/>
      <c r="D445" s="162"/>
      <c r="E445" s="2"/>
      <c r="F445" s="2"/>
      <c r="G445" s="2"/>
      <c r="H445" s="2"/>
      <c r="I445" s="163"/>
      <c r="J445" s="17"/>
      <c r="K445" s="2"/>
      <c r="L445" s="2"/>
    </row>
    <row r="446" spans="1:12" s="129" customFormat="1">
      <c r="A446" s="76"/>
      <c r="B446" s="147"/>
      <c r="C446" s="2"/>
      <c r="D446" s="162"/>
      <c r="E446" s="2"/>
      <c r="F446" s="2"/>
      <c r="G446" s="2"/>
      <c r="H446" s="2"/>
      <c r="I446" s="163"/>
      <c r="J446" s="17"/>
      <c r="K446" s="2"/>
      <c r="L446" s="2"/>
    </row>
    <row r="447" spans="1:12" s="129" customFormat="1">
      <c r="A447" s="76"/>
      <c r="B447" s="147"/>
      <c r="C447" s="2"/>
      <c r="D447" s="162"/>
      <c r="E447" s="2"/>
      <c r="F447" s="2"/>
      <c r="G447" s="2"/>
      <c r="H447" s="2"/>
      <c r="I447" s="163"/>
      <c r="J447" s="17"/>
      <c r="K447" s="2"/>
      <c r="L447" s="2"/>
    </row>
    <row r="448" spans="1:12" s="129" customFormat="1">
      <c r="A448" s="76"/>
      <c r="B448" s="147"/>
      <c r="C448" s="2"/>
      <c r="D448" s="162"/>
      <c r="E448" s="2"/>
      <c r="F448" s="2"/>
      <c r="G448" s="2"/>
      <c r="H448" s="2"/>
      <c r="I448" s="163"/>
      <c r="J448" s="17"/>
      <c r="K448" s="2"/>
      <c r="L448" s="2"/>
    </row>
    <row r="449" spans="1:12" s="129" customFormat="1">
      <c r="A449" s="76"/>
      <c r="B449" s="147"/>
      <c r="C449" s="2"/>
      <c r="D449" s="162"/>
      <c r="E449" s="2"/>
      <c r="F449" s="2"/>
      <c r="G449" s="2"/>
      <c r="H449" s="2"/>
      <c r="I449" s="163"/>
      <c r="J449" s="17"/>
      <c r="K449" s="2"/>
      <c r="L449" s="2"/>
    </row>
    <row r="450" spans="1:12" s="129" customFormat="1">
      <c r="A450" s="76"/>
      <c r="B450" s="147"/>
      <c r="C450" s="2"/>
      <c r="D450" s="162"/>
      <c r="E450" s="2"/>
      <c r="F450" s="2"/>
      <c r="G450" s="2"/>
      <c r="H450" s="2"/>
      <c r="I450" s="163"/>
      <c r="J450" s="17"/>
      <c r="K450" s="2"/>
      <c r="L450" s="2"/>
    </row>
    <row r="451" spans="1:12" s="129" customFormat="1">
      <c r="A451" s="76"/>
      <c r="B451" s="147"/>
      <c r="C451" s="2"/>
      <c r="D451" s="162"/>
      <c r="E451" s="2"/>
      <c r="F451" s="2"/>
      <c r="G451" s="2"/>
      <c r="H451" s="2"/>
      <c r="I451" s="163"/>
      <c r="J451" s="17"/>
      <c r="K451" s="2"/>
      <c r="L451" s="2"/>
    </row>
    <row r="452" spans="1:12" s="129" customFormat="1">
      <c r="A452" s="76"/>
      <c r="B452" s="147"/>
      <c r="C452" s="2"/>
      <c r="D452" s="162"/>
      <c r="E452" s="2"/>
      <c r="F452" s="2"/>
      <c r="G452" s="2"/>
      <c r="H452" s="2"/>
      <c r="I452" s="163"/>
      <c r="J452" s="17"/>
      <c r="K452" s="2"/>
      <c r="L452" s="2"/>
    </row>
    <row r="453" spans="1:12" s="129" customFormat="1">
      <c r="A453" s="76"/>
      <c r="B453" s="147"/>
      <c r="C453" s="2"/>
      <c r="D453" s="162"/>
      <c r="E453" s="2"/>
      <c r="F453" s="2"/>
      <c r="G453" s="2"/>
      <c r="H453" s="2"/>
      <c r="I453" s="163"/>
      <c r="J453" s="17"/>
      <c r="K453" s="2"/>
      <c r="L453" s="2"/>
    </row>
    <row r="454" spans="1:12" s="129" customFormat="1">
      <c r="A454" s="76"/>
      <c r="B454" s="147"/>
      <c r="C454" s="2"/>
      <c r="D454" s="162"/>
      <c r="E454" s="2"/>
      <c r="F454" s="2"/>
      <c r="G454" s="2"/>
      <c r="H454" s="2"/>
      <c r="I454" s="163"/>
      <c r="J454" s="17"/>
      <c r="K454" s="2"/>
      <c r="L454" s="2"/>
    </row>
    <row r="455" spans="1:12" s="129" customFormat="1">
      <c r="A455" s="76"/>
      <c r="B455" s="147"/>
      <c r="C455" s="2"/>
      <c r="D455" s="162"/>
      <c r="E455" s="2"/>
      <c r="F455" s="2"/>
      <c r="G455" s="2"/>
      <c r="H455" s="2"/>
      <c r="I455" s="163"/>
      <c r="J455" s="17"/>
      <c r="K455" s="2"/>
      <c r="L455" s="2"/>
    </row>
    <row r="456" spans="1:12" s="129" customFormat="1">
      <c r="A456" s="76"/>
      <c r="B456" s="147"/>
      <c r="C456" s="2"/>
      <c r="D456" s="162"/>
      <c r="E456" s="2"/>
      <c r="F456" s="2"/>
      <c r="G456" s="2"/>
      <c r="H456" s="2"/>
      <c r="I456" s="163"/>
      <c r="J456" s="17"/>
      <c r="K456" s="2"/>
      <c r="L456" s="2"/>
    </row>
    <row r="457" spans="1:12" s="129" customFormat="1">
      <c r="A457" s="76"/>
      <c r="B457" s="147"/>
      <c r="C457" s="2"/>
      <c r="D457" s="162"/>
      <c r="E457" s="2"/>
      <c r="F457" s="2"/>
      <c r="G457" s="2"/>
      <c r="H457" s="2"/>
      <c r="I457" s="163"/>
      <c r="J457" s="17"/>
      <c r="K457" s="2"/>
      <c r="L457" s="2"/>
    </row>
    <row r="458" spans="1:12" s="129" customFormat="1">
      <c r="A458" s="76"/>
      <c r="B458" s="147"/>
      <c r="C458" s="2"/>
      <c r="D458" s="162"/>
      <c r="E458" s="2"/>
      <c r="F458" s="2"/>
      <c r="G458" s="2"/>
      <c r="H458" s="2"/>
      <c r="I458" s="163"/>
      <c r="J458" s="17"/>
      <c r="K458" s="2"/>
      <c r="L458" s="2"/>
    </row>
    <row r="459" spans="1:12" s="129" customFormat="1">
      <c r="A459" s="76"/>
      <c r="B459" s="147"/>
      <c r="C459" s="2"/>
      <c r="D459" s="162"/>
      <c r="E459" s="2"/>
      <c r="F459" s="2"/>
      <c r="G459" s="2"/>
      <c r="H459" s="2"/>
      <c r="I459" s="163"/>
      <c r="J459" s="17"/>
      <c r="K459" s="2"/>
      <c r="L459" s="2"/>
    </row>
    <row r="460" spans="1:12" s="129" customFormat="1">
      <c r="A460" s="76"/>
      <c r="B460" s="147"/>
      <c r="C460" s="2"/>
      <c r="D460" s="162"/>
      <c r="E460" s="2"/>
      <c r="F460" s="2"/>
      <c r="G460" s="2"/>
      <c r="H460" s="2"/>
      <c r="I460" s="163"/>
      <c r="J460" s="17"/>
      <c r="K460" s="2"/>
      <c r="L460" s="2"/>
    </row>
    <row r="461" spans="1:12" s="129" customFormat="1">
      <c r="A461" s="76"/>
      <c r="B461" s="147"/>
      <c r="C461" s="2"/>
      <c r="D461" s="162"/>
      <c r="E461" s="2"/>
      <c r="F461" s="2"/>
      <c r="G461" s="2"/>
      <c r="H461" s="2"/>
      <c r="I461" s="163"/>
      <c r="J461" s="17"/>
      <c r="K461" s="2"/>
      <c r="L461" s="2"/>
    </row>
    <row r="462" spans="1:12" s="129" customFormat="1">
      <c r="A462" s="76"/>
      <c r="B462" s="147"/>
      <c r="C462" s="2"/>
      <c r="D462" s="162"/>
      <c r="E462" s="2"/>
      <c r="F462" s="2"/>
      <c r="G462" s="2"/>
      <c r="H462" s="2"/>
      <c r="I462" s="163"/>
      <c r="J462" s="17"/>
      <c r="K462" s="2"/>
      <c r="L462" s="2"/>
    </row>
    <row r="463" spans="1:12" s="129" customFormat="1">
      <c r="A463" s="76"/>
      <c r="B463" s="147"/>
      <c r="C463" s="2"/>
      <c r="D463" s="162"/>
      <c r="E463" s="2"/>
      <c r="F463" s="2"/>
      <c r="G463" s="2"/>
      <c r="H463" s="2"/>
      <c r="I463" s="163"/>
      <c r="J463" s="17"/>
      <c r="K463" s="2"/>
      <c r="L463" s="2"/>
    </row>
    <row r="464" spans="1:12" s="129" customFormat="1">
      <c r="A464" s="76"/>
      <c r="B464" s="147"/>
      <c r="C464" s="2"/>
      <c r="D464" s="162"/>
      <c r="E464" s="2"/>
      <c r="F464" s="2"/>
      <c r="G464" s="2"/>
      <c r="H464" s="2"/>
      <c r="I464" s="163"/>
      <c r="J464" s="17"/>
      <c r="K464" s="2"/>
      <c r="L464" s="2"/>
    </row>
    <row r="465" spans="1:12" s="129" customFormat="1">
      <c r="A465" s="76"/>
      <c r="B465" s="147"/>
      <c r="C465" s="2"/>
      <c r="D465" s="162"/>
      <c r="E465" s="2"/>
      <c r="F465" s="2"/>
      <c r="G465" s="2"/>
      <c r="H465" s="2"/>
      <c r="I465" s="163"/>
      <c r="J465" s="17"/>
      <c r="K465" s="2"/>
      <c r="L465" s="2"/>
    </row>
    <row r="466" spans="1:12" s="129" customFormat="1">
      <c r="A466" s="76"/>
      <c r="B466" s="147"/>
      <c r="C466" s="2"/>
      <c r="D466" s="162"/>
      <c r="E466" s="2"/>
      <c r="F466" s="2"/>
      <c r="G466" s="2"/>
      <c r="H466" s="2"/>
      <c r="I466" s="163"/>
      <c r="J466" s="17"/>
      <c r="K466" s="2"/>
      <c r="L466" s="2"/>
    </row>
    <row r="467" spans="1:12" s="129" customFormat="1">
      <c r="A467" s="76"/>
      <c r="B467" s="147"/>
      <c r="C467" s="2"/>
      <c r="D467" s="162"/>
      <c r="E467" s="2"/>
      <c r="F467" s="2"/>
      <c r="G467" s="2"/>
      <c r="H467" s="2"/>
      <c r="I467" s="163"/>
      <c r="J467" s="17"/>
      <c r="K467" s="2"/>
      <c r="L467" s="2"/>
    </row>
    <row r="468" spans="1:12" s="129" customFormat="1">
      <c r="A468" s="76"/>
      <c r="B468" s="147"/>
      <c r="C468" s="2"/>
      <c r="D468" s="162"/>
      <c r="E468" s="2"/>
      <c r="F468" s="2"/>
      <c r="G468" s="2"/>
      <c r="H468" s="2"/>
      <c r="I468" s="163"/>
      <c r="J468" s="17"/>
      <c r="K468" s="2"/>
      <c r="L468" s="2"/>
    </row>
    <row r="469" spans="1:12" s="129" customFormat="1">
      <c r="A469" s="76"/>
      <c r="B469" s="147"/>
      <c r="C469" s="2"/>
      <c r="D469" s="162"/>
      <c r="E469" s="2"/>
      <c r="F469" s="2"/>
      <c r="G469" s="2"/>
      <c r="H469" s="2"/>
      <c r="I469" s="163"/>
      <c r="J469" s="17"/>
      <c r="K469" s="2"/>
      <c r="L469" s="2"/>
    </row>
    <row r="470" spans="1:12" s="129" customFormat="1">
      <c r="A470" s="76"/>
      <c r="B470" s="147"/>
      <c r="C470" s="2"/>
      <c r="D470" s="162"/>
      <c r="E470" s="2"/>
      <c r="F470" s="2"/>
      <c r="G470" s="2"/>
      <c r="H470" s="2"/>
      <c r="I470" s="163"/>
      <c r="J470" s="17"/>
      <c r="K470" s="2"/>
      <c r="L470" s="2"/>
    </row>
    <row r="471" spans="1:12" s="129" customFormat="1">
      <c r="A471" s="76"/>
      <c r="B471" s="147"/>
      <c r="C471" s="2"/>
      <c r="D471" s="162"/>
      <c r="E471" s="2"/>
      <c r="F471" s="2"/>
      <c r="G471" s="2"/>
      <c r="H471" s="2"/>
      <c r="I471" s="163"/>
      <c r="J471" s="17"/>
      <c r="K471" s="2"/>
      <c r="L471" s="2"/>
    </row>
    <row r="472" spans="1:12" s="129" customFormat="1">
      <c r="A472" s="76"/>
      <c r="B472" s="147"/>
      <c r="C472" s="2"/>
      <c r="D472" s="162"/>
      <c r="E472" s="2"/>
      <c r="F472" s="2"/>
      <c r="G472" s="2"/>
      <c r="H472" s="2"/>
      <c r="I472" s="163"/>
      <c r="J472" s="17"/>
      <c r="K472" s="2"/>
      <c r="L472" s="2"/>
    </row>
    <row r="473" spans="1:12" s="129" customFormat="1">
      <c r="A473" s="76"/>
      <c r="B473" s="147"/>
      <c r="C473" s="2"/>
      <c r="D473" s="162"/>
      <c r="E473" s="2"/>
      <c r="F473" s="2"/>
      <c r="G473" s="2"/>
      <c r="H473" s="2"/>
      <c r="I473" s="163"/>
      <c r="J473" s="17"/>
      <c r="K473" s="2"/>
      <c r="L473" s="2"/>
    </row>
    <row r="474" spans="1:12" s="129" customFormat="1">
      <c r="A474" s="76"/>
      <c r="B474" s="147"/>
      <c r="C474" s="2"/>
      <c r="D474" s="162"/>
      <c r="E474" s="2"/>
      <c r="F474" s="2"/>
      <c r="G474" s="2"/>
      <c r="H474" s="2"/>
      <c r="I474" s="163"/>
      <c r="J474" s="17"/>
      <c r="K474" s="2"/>
      <c r="L474" s="2"/>
    </row>
    <row r="475" spans="1:12" s="129" customFormat="1">
      <c r="A475" s="76"/>
      <c r="B475" s="147"/>
      <c r="C475" s="2"/>
      <c r="D475" s="162"/>
      <c r="E475" s="2"/>
      <c r="F475" s="2"/>
      <c r="G475" s="2"/>
      <c r="H475" s="2"/>
      <c r="I475" s="163"/>
      <c r="J475" s="17"/>
      <c r="K475" s="2"/>
      <c r="L475" s="2"/>
    </row>
    <row r="476" spans="1:12" s="129" customFormat="1">
      <c r="A476" s="76"/>
      <c r="B476" s="147"/>
      <c r="C476" s="2"/>
      <c r="D476" s="162"/>
      <c r="E476" s="2"/>
      <c r="F476" s="2"/>
      <c r="G476" s="2"/>
      <c r="H476" s="2"/>
      <c r="I476" s="163"/>
      <c r="J476" s="17"/>
      <c r="K476" s="2"/>
      <c r="L476" s="2"/>
    </row>
    <row r="477" spans="1:12" s="129" customFormat="1">
      <c r="A477" s="76"/>
      <c r="B477" s="147"/>
      <c r="C477" s="2"/>
      <c r="D477" s="162"/>
      <c r="E477" s="2"/>
      <c r="F477" s="2"/>
      <c r="G477" s="2"/>
      <c r="H477" s="2"/>
      <c r="I477" s="163"/>
      <c r="J477" s="17"/>
      <c r="K477" s="2"/>
      <c r="L477" s="2"/>
    </row>
    <row r="478" spans="1:12" s="129" customFormat="1">
      <c r="A478" s="76"/>
      <c r="B478" s="147"/>
      <c r="C478" s="2"/>
      <c r="D478" s="162"/>
      <c r="E478" s="2"/>
      <c r="F478" s="2"/>
      <c r="G478" s="2"/>
      <c r="H478" s="2"/>
      <c r="I478" s="163"/>
      <c r="J478" s="17"/>
      <c r="K478" s="2"/>
      <c r="L478" s="2"/>
    </row>
    <row r="479" spans="1:12" s="129" customFormat="1">
      <c r="A479" s="76"/>
      <c r="B479" s="147"/>
      <c r="C479" s="2"/>
      <c r="D479" s="162"/>
      <c r="E479" s="2"/>
      <c r="F479" s="2"/>
      <c r="G479" s="2"/>
      <c r="H479" s="2"/>
      <c r="I479" s="163"/>
      <c r="J479" s="17"/>
      <c r="K479" s="2"/>
      <c r="L479" s="2"/>
    </row>
    <row r="480" spans="1:12" s="129" customFormat="1">
      <c r="A480" s="76"/>
      <c r="B480" s="147"/>
      <c r="C480" s="2"/>
      <c r="D480" s="162"/>
      <c r="E480" s="2"/>
      <c r="F480" s="2"/>
      <c r="G480" s="2"/>
      <c r="H480" s="2"/>
      <c r="I480" s="163"/>
      <c r="J480" s="17"/>
      <c r="K480" s="2"/>
      <c r="L480" s="2"/>
    </row>
    <row r="481" spans="1:12" s="87" customFormat="1" ht="16.5">
      <c r="A481" s="17"/>
      <c r="B481" s="147"/>
      <c r="C481" s="17"/>
      <c r="D481" s="40"/>
      <c r="E481" s="164"/>
      <c r="F481" s="164"/>
      <c r="G481" s="36"/>
      <c r="H481" s="36"/>
      <c r="I481" s="90"/>
      <c r="J481" s="147"/>
      <c r="K481" s="17"/>
      <c r="L481" s="18"/>
    </row>
    <row r="482" spans="1:12" s="37" customFormat="1" ht="16.5">
      <c r="A482" s="17"/>
      <c r="B482" s="147"/>
      <c r="C482" s="35"/>
      <c r="D482" s="40"/>
      <c r="E482" s="36"/>
      <c r="F482" s="36"/>
      <c r="G482" s="36"/>
      <c r="H482" s="36"/>
      <c r="I482" s="147"/>
      <c r="J482" s="147"/>
      <c r="K482" s="17"/>
      <c r="L482" s="21"/>
    </row>
    <row r="483" spans="1:12" s="37" customFormat="1">
      <c r="A483" s="17"/>
      <c r="B483" s="147"/>
      <c r="C483" s="35"/>
      <c r="D483" s="40"/>
      <c r="E483" s="36"/>
      <c r="F483" s="36"/>
      <c r="G483" s="36"/>
      <c r="H483" s="36"/>
      <c r="I483" s="147"/>
      <c r="J483" s="147"/>
      <c r="K483" s="17"/>
      <c r="L483" s="17"/>
    </row>
    <row r="484" spans="1:12" s="37" customFormat="1">
      <c r="A484" s="17"/>
      <c r="B484" s="147"/>
      <c r="C484" s="35"/>
      <c r="D484" s="40"/>
      <c r="E484" s="36"/>
      <c r="F484" s="36"/>
      <c r="G484" s="36"/>
      <c r="H484" s="36"/>
      <c r="I484" s="147"/>
      <c r="J484" s="147"/>
      <c r="K484" s="17"/>
      <c r="L484" s="17"/>
    </row>
    <row r="485" spans="1:12" s="37" customFormat="1">
      <c r="A485" s="17"/>
      <c r="B485" s="147"/>
      <c r="C485" s="35"/>
      <c r="D485" s="40"/>
      <c r="E485" s="36"/>
      <c r="F485" s="36"/>
      <c r="G485" s="36"/>
      <c r="H485" s="36"/>
      <c r="I485" s="147"/>
      <c r="J485" s="147"/>
      <c r="K485" s="17"/>
      <c r="L485" s="17"/>
    </row>
    <row r="486" spans="1:12" s="37" customFormat="1">
      <c r="A486" s="17"/>
      <c r="B486" s="147"/>
      <c r="C486" s="35"/>
      <c r="D486" s="40"/>
      <c r="E486" s="36"/>
      <c r="F486" s="36"/>
      <c r="G486" s="36"/>
      <c r="H486" s="36"/>
      <c r="I486" s="147"/>
      <c r="J486" s="147"/>
      <c r="K486" s="17"/>
      <c r="L486" s="17"/>
    </row>
    <row r="487" spans="1:12" s="37" customFormat="1">
      <c r="A487" s="17"/>
      <c r="B487" s="147"/>
      <c r="C487" s="35"/>
      <c r="D487" s="40"/>
      <c r="E487" s="36"/>
      <c r="F487" s="36"/>
      <c r="G487" s="36"/>
      <c r="H487" s="36"/>
      <c r="I487" s="147"/>
      <c r="J487" s="147"/>
      <c r="K487" s="17"/>
      <c r="L487" s="17"/>
    </row>
    <row r="488" spans="1:12" s="37" customFormat="1">
      <c r="A488" s="17"/>
      <c r="B488" s="147"/>
      <c r="C488" s="35"/>
      <c r="D488" s="40"/>
      <c r="E488" s="36"/>
      <c r="F488" s="36"/>
      <c r="G488" s="36"/>
      <c r="H488" s="36"/>
      <c r="I488" s="147"/>
      <c r="J488" s="147"/>
      <c r="K488" s="17"/>
      <c r="L488" s="17"/>
    </row>
    <row r="489" spans="1:12" s="37" customFormat="1">
      <c r="A489" s="17"/>
      <c r="B489" s="147"/>
      <c r="C489" s="35"/>
      <c r="D489" s="40"/>
      <c r="E489" s="36"/>
      <c r="F489" s="36"/>
      <c r="G489" s="36"/>
      <c r="H489" s="36"/>
      <c r="I489" s="147"/>
      <c r="J489" s="147"/>
      <c r="K489" s="17"/>
      <c r="L489" s="17"/>
    </row>
    <row r="490" spans="1:12" s="37" customFormat="1">
      <c r="A490" s="17"/>
      <c r="B490" s="147"/>
      <c r="C490" s="35"/>
      <c r="D490" s="40"/>
      <c r="E490" s="36"/>
      <c r="F490" s="36"/>
      <c r="G490" s="36"/>
      <c r="H490" s="36"/>
      <c r="I490" s="147"/>
      <c r="J490" s="147"/>
      <c r="K490" s="17"/>
      <c r="L490" s="17"/>
    </row>
    <row r="491" spans="1:12" s="37" customFormat="1">
      <c r="A491" s="17"/>
      <c r="B491" s="147"/>
      <c r="C491" s="35"/>
      <c r="D491" s="40"/>
      <c r="E491" s="36"/>
      <c r="F491" s="36"/>
      <c r="G491" s="36"/>
      <c r="H491" s="36"/>
      <c r="I491" s="147"/>
      <c r="J491" s="147"/>
      <c r="K491" s="17"/>
      <c r="L491" s="17"/>
    </row>
    <row r="492" spans="1:12" s="37" customFormat="1">
      <c r="A492" s="17"/>
      <c r="B492" s="147"/>
      <c r="C492" s="35"/>
      <c r="D492" s="164"/>
      <c r="E492" s="36"/>
      <c r="F492" s="36"/>
      <c r="G492" s="36"/>
      <c r="H492" s="36"/>
      <c r="I492" s="147"/>
      <c r="J492" s="147"/>
      <c r="K492" s="17"/>
      <c r="L492" s="17"/>
    </row>
    <row r="493" spans="1:12" s="37" customFormat="1">
      <c r="A493" s="17"/>
      <c r="B493" s="147"/>
      <c r="C493" s="35"/>
      <c r="D493" s="40"/>
      <c r="E493" s="36"/>
      <c r="F493" s="36"/>
      <c r="G493" s="36"/>
      <c r="H493" s="36"/>
      <c r="I493" s="147"/>
      <c r="J493" s="147"/>
      <c r="K493" s="17"/>
      <c r="L493" s="17"/>
    </row>
    <row r="494" spans="1:12" s="37" customFormat="1">
      <c r="A494" s="17"/>
      <c r="B494" s="147"/>
      <c r="C494" s="35"/>
      <c r="D494" s="40"/>
      <c r="E494" s="36"/>
      <c r="F494" s="36"/>
      <c r="G494" s="36"/>
      <c r="H494" s="36"/>
      <c r="I494" s="147"/>
      <c r="J494" s="147"/>
      <c r="K494" s="17"/>
      <c r="L494" s="17"/>
    </row>
    <row r="495" spans="1:12" s="37" customFormat="1">
      <c r="A495" s="17"/>
      <c r="B495" s="147"/>
      <c r="C495" s="35"/>
      <c r="D495" s="40"/>
      <c r="E495" s="36"/>
      <c r="F495" s="36"/>
      <c r="G495" s="36"/>
      <c r="H495" s="36"/>
      <c r="I495" s="147"/>
      <c r="J495" s="147"/>
      <c r="K495" s="17"/>
      <c r="L495" s="17"/>
    </row>
    <row r="496" spans="1:12" s="37" customFormat="1">
      <c r="A496" s="17"/>
      <c r="B496" s="147"/>
      <c r="C496" s="35"/>
      <c r="D496" s="40"/>
      <c r="E496" s="36"/>
      <c r="F496" s="36"/>
      <c r="G496" s="36"/>
      <c r="H496" s="36"/>
      <c r="I496" s="147"/>
      <c r="J496" s="147"/>
      <c r="K496" s="17"/>
      <c r="L496" s="17"/>
    </row>
    <row r="497" spans="1:12" s="37" customFormat="1">
      <c r="A497" s="17"/>
      <c r="B497" s="147"/>
      <c r="C497" s="35"/>
      <c r="D497" s="40"/>
      <c r="E497" s="36"/>
      <c r="F497" s="36"/>
      <c r="G497" s="36"/>
      <c r="H497" s="36"/>
      <c r="I497" s="147"/>
      <c r="J497" s="147"/>
      <c r="K497" s="17"/>
      <c r="L497" s="17"/>
    </row>
    <row r="498" spans="1:12" s="37" customFormat="1">
      <c r="A498" s="17"/>
      <c r="B498" s="147"/>
      <c r="C498" s="35"/>
      <c r="D498" s="40"/>
      <c r="E498" s="36"/>
      <c r="F498" s="36"/>
      <c r="G498" s="36"/>
      <c r="H498" s="36"/>
      <c r="I498" s="147"/>
      <c r="J498" s="147"/>
      <c r="K498" s="17"/>
      <c r="L498" s="17"/>
    </row>
    <row r="499" spans="1:12" s="37" customFormat="1">
      <c r="A499" s="17"/>
      <c r="B499" s="147"/>
      <c r="C499" s="35"/>
      <c r="D499" s="40"/>
      <c r="E499" s="36"/>
      <c r="F499" s="36"/>
      <c r="G499" s="36"/>
      <c r="H499" s="36"/>
      <c r="I499" s="147"/>
      <c r="J499" s="147"/>
      <c r="K499" s="17"/>
      <c r="L499" s="17"/>
    </row>
    <row r="500" spans="1:12" s="52" customFormat="1">
      <c r="A500" s="17"/>
      <c r="B500" s="147"/>
      <c r="C500" s="165"/>
      <c r="D500" s="159"/>
      <c r="E500" s="89"/>
      <c r="F500" s="89"/>
      <c r="G500" s="89"/>
      <c r="H500" s="89"/>
      <c r="I500" s="90"/>
      <c r="J500" s="90"/>
      <c r="K500" s="2"/>
      <c r="L500" s="2"/>
    </row>
    <row r="501" spans="1:12" s="52" customFormat="1">
      <c r="A501" s="17"/>
      <c r="B501" s="147"/>
      <c r="C501" s="165"/>
      <c r="D501" s="159"/>
      <c r="E501" s="89"/>
      <c r="F501" s="89"/>
      <c r="G501" s="89"/>
      <c r="H501" s="89"/>
      <c r="I501" s="90"/>
      <c r="J501" s="90"/>
      <c r="K501" s="2"/>
      <c r="L501" s="2"/>
    </row>
    <row r="502" spans="1:12" s="52" customFormat="1">
      <c r="A502" s="17"/>
      <c r="B502" s="147"/>
      <c r="C502" s="165"/>
      <c r="D502" s="159"/>
      <c r="E502" s="89"/>
      <c r="F502" s="89"/>
      <c r="G502" s="89"/>
      <c r="H502" s="89"/>
      <c r="I502" s="90"/>
      <c r="J502" s="90"/>
      <c r="K502" s="2"/>
      <c r="L502" s="2"/>
    </row>
    <row r="503" spans="1:12" s="52" customFormat="1">
      <c r="A503" s="17"/>
      <c r="B503" s="147"/>
      <c r="C503" s="165"/>
      <c r="D503" s="159"/>
      <c r="E503" s="89"/>
      <c r="F503" s="89"/>
      <c r="G503" s="89"/>
      <c r="H503" s="89"/>
      <c r="I503" s="90"/>
      <c r="J503" s="90"/>
      <c r="K503" s="2"/>
      <c r="L503" s="2"/>
    </row>
    <row r="504" spans="1:12" s="52" customFormat="1">
      <c r="A504" s="17"/>
      <c r="B504" s="147"/>
      <c r="C504" s="165"/>
      <c r="D504" s="159"/>
      <c r="E504" s="89"/>
      <c r="F504" s="89"/>
      <c r="G504" s="89"/>
      <c r="H504" s="89"/>
      <c r="I504" s="90"/>
      <c r="J504" s="90"/>
      <c r="K504" s="2"/>
      <c r="L504" s="2"/>
    </row>
    <row r="505" spans="1:12" s="52" customFormat="1">
      <c r="A505" s="17"/>
      <c r="B505" s="147"/>
      <c r="C505" s="165"/>
      <c r="D505" s="159"/>
      <c r="E505" s="89"/>
      <c r="F505" s="89"/>
      <c r="G505" s="89"/>
      <c r="H505" s="89"/>
      <c r="I505" s="90"/>
      <c r="J505" s="90"/>
      <c r="K505" s="2"/>
      <c r="L505" s="2"/>
    </row>
    <row r="506" spans="1:12" s="52" customFormat="1">
      <c r="A506" s="17"/>
      <c r="B506" s="147"/>
      <c r="C506" s="165"/>
      <c r="D506" s="159"/>
      <c r="E506" s="89"/>
      <c r="F506" s="89"/>
      <c r="G506" s="89"/>
      <c r="H506" s="89"/>
      <c r="I506" s="90"/>
      <c r="J506" s="90"/>
      <c r="K506" s="2"/>
      <c r="L506" s="2"/>
    </row>
    <row r="507" spans="1:12" s="52" customFormat="1">
      <c r="A507" s="17"/>
      <c r="B507" s="147"/>
      <c r="C507" s="165"/>
      <c r="D507" s="159"/>
      <c r="E507" s="89"/>
      <c r="F507" s="89"/>
      <c r="G507" s="89"/>
      <c r="H507" s="89"/>
      <c r="I507" s="90"/>
      <c r="J507" s="90"/>
      <c r="K507" s="2"/>
      <c r="L507" s="2"/>
    </row>
    <row r="508" spans="1:12" s="52" customFormat="1">
      <c r="A508" s="17"/>
      <c r="B508" s="147"/>
      <c r="C508" s="165"/>
      <c r="D508" s="159"/>
      <c r="E508" s="89"/>
      <c r="F508" s="89"/>
      <c r="G508" s="89"/>
      <c r="H508" s="89"/>
      <c r="I508" s="90"/>
      <c r="J508" s="90"/>
      <c r="K508" s="2"/>
      <c r="L508" s="2"/>
    </row>
    <row r="509" spans="1:12" s="52" customFormat="1">
      <c r="A509" s="17"/>
      <c r="B509" s="147"/>
      <c r="C509" s="165"/>
      <c r="D509" s="159"/>
      <c r="E509" s="89"/>
      <c r="F509" s="89"/>
      <c r="G509" s="89"/>
      <c r="H509" s="89"/>
      <c r="I509" s="90"/>
      <c r="J509" s="90"/>
      <c r="K509" s="2"/>
      <c r="L509" s="2"/>
    </row>
    <row r="510" spans="1:12" s="52" customFormat="1">
      <c r="A510" s="17"/>
      <c r="B510" s="147"/>
      <c r="C510" s="165"/>
      <c r="D510" s="159"/>
      <c r="E510" s="89"/>
      <c r="F510" s="89"/>
      <c r="G510" s="89"/>
      <c r="H510" s="89"/>
      <c r="I510" s="90"/>
      <c r="J510" s="90"/>
      <c r="K510" s="2"/>
      <c r="L510" s="2"/>
    </row>
    <row r="511" spans="1:12" s="52" customFormat="1">
      <c r="A511" s="17"/>
      <c r="B511" s="147"/>
      <c r="C511" s="165"/>
      <c r="D511" s="159"/>
      <c r="E511" s="89"/>
      <c r="F511" s="89"/>
      <c r="G511" s="89"/>
      <c r="H511" s="89"/>
      <c r="I511" s="90"/>
      <c r="J511" s="90"/>
      <c r="K511" s="2"/>
      <c r="L511" s="2"/>
    </row>
    <row r="512" spans="1:12" s="52" customFormat="1">
      <c r="A512" s="17"/>
      <c r="B512" s="147"/>
      <c r="C512" s="165"/>
      <c r="D512" s="159"/>
      <c r="E512" s="89"/>
      <c r="F512" s="89"/>
      <c r="G512" s="89"/>
      <c r="H512" s="89"/>
      <c r="I512" s="90"/>
      <c r="J512" s="90"/>
      <c r="K512" s="2"/>
      <c r="L512" s="2"/>
    </row>
    <row r="513" spans="1:16" s="52" customFormat="1">
      <c r="A513" s="17"/>
      <c r="B513" s="147"/>
      <c r="C513" s="165"/>
      <c r="D513" s="159"/>
      <c r="E513" s="89"/>
      <c r="F513" s="89"/>
      <c r="G513" s="89"/>
      <c r="H513" s="89"/>
      <c r="I513" s="90"/>
      <c r="J513" s="90"/>
      <c r="K513" s="2"/>
      <c r="L513" s="2"/>
    </row>
    <row r="514" spans="1:16" s="52" customFormat="1">
      <c r="A514" s="17"/>
      <c r="B514" s="147"/>
      <c r="C514" s="165"/>
      <c r="D514" s="159"/>
      <c r="E514" s="89"/>
      <c r="F514" s="89"/>
      <c r="G514" s="89"/>
      <c r="H514" s="89"/>
      <c r="I514" s="90"/>
      <c r="J514" s="90"/>
      <c r="K514" s="2"/>
      <c r="L514" s="2"/>
    </row>
    <row r="515" spans="1:16" s="52" customFormat="1">
      <c r="A515" s="17"/>
      <c r="B515" s="147"/>
      <c r="C515" s="165"/>
      <c r="D515" s="159"/>
      <c r="E515" s="89"/>
      <c r="F515" s="89"/>
      <c r="G515" s="89"/>
      <c r="H515" s="89"/>
      <c r="I515" s="90"/>
      <c r="J515" s="90"/>
      <c r="K515" s="2"/>
      <c r="L515" s="2"/>
    </row>
    <row r="516" spans="1:16" s="52" customFormat="1">
      <c r="A516" s="17"/>
      <c r="B516" s="147"/>
      <c r="C516" s="165"/>
      <c r="D516" s="159"/>
      <c r="E516" s="89"/>
      <c r="F516" s="89"/>
      <c r="G516" s="89"/>
      <c r="H516" s="89"/>
      <c r="I516" s="90"/>
      <c r="J516" s="90"/>
      <c r="K516" s="2"/>
      <c r="L516" s="2"/>
    </row>
    <row r="517" spans="1:16" s="52" customFormat="1">
      <c r="A517" s="17"/>
      <c r="B517" s="147"/>
      <c r="C517" s="165"/>
      <c r="D517" s="159"/>
      <c r="E517" s="89"/>
      <c r="F517" s="89"/>
      <c r="G517" s="89"/>
      <c r="H517" s="89"/>
      <c r="I517" s="90"/>
      <c r="J517" s="90"/>
      <c r="K517" s="2"/>
      <c r="L517" s="2"/>
    </row>
    <row r="518" spans="1:16" s="52" customFormat="1">
      <c r="A518" s="17"/>
      <c r="B518" s="147"/>
      <c r="C518" s="165"/>
      <c r="D518" s="159"/>
      <c r="E518" s="89"/>
      <c r="F518" s="89"/>
      <c r="G518" s="89"/>
      <c r="H518" s="89"/>
      <c r="I518" s="90"/>
      <c r="J518" s="90"/>
      <c r="K518" s="2"/>
      <c r="L518" s="2"/>
    </row>
    <row r="519" spans="1:16" s="52" customFormat="1">
      <c r="A519" s="17"/>
      <c r="B519" s="147"/>
      <c r="C519" s="165"/>
      <c r="D519" s="159"/>
      <c r="E519" s="89"/>
      <c r="F519" s="89"/>
      <c r="G519" s="89"/>
      <c r="H519" s="89"/>
      <c r="I519" s="90"/>
      <c r="J519" s="90"/>
      <c r="K519" s="2"/>
      <c r="L519" s="2"/>
    </row>
    <row r="520" spans="1:16" s="52" customFormat="1">
      <c r="A520" s="17"/>
      <c r="B520" s="147"/>
      <c r="C520" s="165"/>
      <c r="D520" s="159"/>
      <c r="E520" s="89"/>
      <c r="F520" s="89"/>
      <c r="G520" s="89"/>
      <c r="H520" s="89"/>
      <c r="I520" s="90"/>
      <c r="J520" s="90"/>
      <c r="K520" s="2"/>
      <c r="L520" s="2"/>
    </row>
    <row r="521" spans="1:16" s="52" customFormat="1">
      <c r="A521" s="17"/>
      <c r="B521" s="147"/>
      <c r="C521" s="165"/>
      <c r="D521" s="159"/>
      <c r="E521" s="89"/>
      <c r="F521" s="89"/>
      <c r="G521" s="89"/>
      <c r="H521" s="89"/>
      <c r="I521" s="90"/>
      <c r="J521" s="90"/>
      <c r="K521" s="2"/>
      <c r="L521" s="2"/>
    </row>
    <row r="522" spans="1:16" s="52" customFormat="1" ht="15" customHeight="1">
      <c r="A522" s="17"/>
      <c r="B522" s="147"/>
      <c r="C522" s="165"/>
      <c r="D522" s="159"/>
      <c r="E522" s="89"/>
      <c r="F522" s="89"/>
      <c r="G522" s="89"/>
      <c r="H522" s="89"/>
      <c r="I522" s="90"/>
      <c r="J522" s="90"/>
      <c r="K522" s="2"/>
      <c r="L522" s="2"/>
    </row>
    <row r="523" spans="1:16">
      <c r="A523" s="160"/>
      <c r="B523" s="166"/>
      <c r="C523" s="167"/>
      <c r="D523" s="168"/>
      <c r="E523" s="167"/>
      <c r="F523" s="167"/>
      <c r="G523" s="169"/>
      <c r="H523" s="169"/>
      <c r="I523" s="166"/>
      <c r="J523" s="169"/>
      <c r="K523" s="160"/>
      <c r="L523" s="160"/>
      <c r="M523" s="160"/>
      <c r="N523" s="160"/>
      <c r="O523" s="160"/>
      <c r="P523" s="160"/>
    </row>
    <row r="524" spans="1:16">
      <c r="A524" s="160"/>
      <c r="B524" s="166"/>
      <c r="C524" s="170"/>
      <c r="D524" s="168"/>
      <c r="E524" s="169"/>
      <c r="F524" s="169"/>
      <c r="G524" s="169"/>
      <c r="H524" s="169"/>
      <c r="I524" s="171"/>
      <c r="J524" s="169"/>
      <c r="K524" s="160"/>
      <c r="L524" s="160"/>
      <c r="M524" s="160"/>
      <c r="N524" s="160"/>
      <c r="O524" s="160"/>
      <c r="P524" s="160"/>
    </row>
    <row r="525" spans="1:16">
      <c r="A525" s="160"/>
      <c r="B525" s="166"/>
      <c r="C525" s="170"/>
      <c r="D525" s="172"/>
      <c r="E525" s="169"/>
      <c r="F525" s="169"/>
      <c r="G525" s="169"/>
      <c r="H525" s="169"/>
      <c r="I525" s="171"/>
      <c r="J525" s="169"/>
      <c r="K525" s="160"/>
      <c r="L525" s="160"/>
      <c r="M525" s="160"/>
      <c r="N525" s="160"/>
      <c r="O525" s="160"/>
      <c r="P525" s="160"/>
    </row>
    <row r="526" spans="1:16">
      <c r="A526" s="160"/>
      <c r="B526" s="166"/>
      <c r="C526" s="170"/>
      <c r="D526" s="168"/>
      <c r="E526" s="169"/>
      <c r="F526" s="169"/>
      <c r="G526" s="169"/>
      <c r="H526" s="169"/>
      <c r="I526" s="171"/>
      <c r="J526" s="169"/>
      <c r="K526" s="160"/>
      <c r="L526" s="160"/>
      <c r="M526" s="160"/>
      <c r="N526" s="160"/>
      <c r="O526" s="160"/>
      <c r="P526" s="160"/>
    </row>
    <row r="527" spans="1:16">
      <c r="A527" s="160"/>
      <c r="B527" s="166"/>
      <c r="C527" s="170"/>
      <c r="D527" s="168"/>
      <c r="E527" s="169"/>
      <c r="F527" s="169"/>
      <c r="G527" s="169"/>
      <c r="H527" s="169"/>
      <c r="I527" s="200"/>
      <c r="J527" s="169"/>
      <c r="K527" s="160"/>
      <c r="L527" s="160"/>
      <c r="M527" s="160"/>
      <c r="N527" s="160"/>
      <c r="O527" s="160"/>
      <c r="P527" s="160"/>
    </row>
    <row r="528" spans="1:16">
      <c r="A528" s="160"/>
      <c r="B528" s="166"/>
      <c r="C528" s="170"/>
      <c r="D528" s="172"/>
      <c r="E528" s="169"/>
      <c r="F528" s="169"/>
      <c r="G528" s="169"/>
      <c r="H528" s="169"/>
      <c r="I528" s="200"/>
      <c r="J528" s="169"/>
      <c r="K528" s="160"/>
      <c r="L528" s="160"/>
      <c r="M528" s="160"/>
      <c r="N528" s="160"/>
      <c r="O528" s="160"/>
      <c r="P528" s="160"/>
    </row>
    <row r="529" spans="1:16">
      <c r="A529" s="160"/>
      <c r="B529" s="166"/>
      <c r="C529" s="170"/>
      <c r="D529" s="168"/>
      <c r="E529" s="169"/>
      <c r="F529" s="169"/>
      <c r="G529" s="169"/>
      <c r="H529" s="169"/>
      <c r="I529" s="200"/>
      <c r="J529" s="169"/>
      <c r="K529" s="160"/>
      <c r="L529" s="160"/>
      <c r="M529" s="160"/>
      <c r="N529" s="160"/>
      <c r="O529" s="160"/>
      <c r="P529" s="160"/>
    </row>
    <row r="530" spans="1:16">
      <c r="A530" s="160"/>
      <c r="B530" s="166"/>
      <c r="C530" s="170"/>
      <c r="D530" s="168"/>
      <c r="E530" s="169"/>
      <c r="F530" s="169"/>
      <c r="G530" s="169"/>
      <c r="H530" s="169"/>
      <c r="I530" s="200"/>
      <c r="J530" s="169"/>
      <c r="K530" s="160"/>
      <c r="L530" s="160"/>
      <c r="M530" s="160"/>
      <c r="N530" s="160"/>
      <c r="O530" s="160"/>
      <c r="P530" s="160"/>
    </row>
    <row r="531" spans="1:16">
      <c r="A531" s="160"/>
      <c r="B531" s="166"/>
      <c r="C531" s="170"/>
      <c r="D531" s="168"/>
      <c r="E531" s="169"/>
      <c r="F531" s="169"/>
      <c r="G531" s="169"/>
      <c r="H531" s="169"/>
      <c r="I531" s="200"/>
      <c r="J531" s="169"/>
      <c r="K531" s="160"/>
      <c r="L531" s="160"/>
      <c r="M531" s="160"/>
      <c r="N531" s="160"/>
      <c r="O531" s="160"/>
      <c r="P531" s="160"/>
    </row>
    <row r="532" spans="1:16">
      <c r="A532" s="160"/>
      <c r="B532" s="166"/>
      <c r="C532" s="170"/>
      <c r="D532" s="168"/>
      <c r="E532" s="169"/>
      <c r="F532" s="169"/>
      <c r="G532" s="169"/>
      <c r="H532" s="169"/>
      <c r="I532" s="171"/>
      <c r="J532" s="169"/>
      <c r="K532" s="160"/>
      <c r="L532" s="160"/>
      <c r="M532" s="160"/>
      <c r="N532" s="160"/>
      <c r="O532" s="160"/>
      <c r="P532" s="160"/>
    </row>
    <row r="533" spans="1:16">
      <c r="A533" s="160"/>
      <c r="B533" s="166"/>
      <c r="C533" s="170"/>
      <c r="D533" s="168"/>
      <c r="E533" s="169"/>
      <c r="F533" s="169"/>
      <c r="G533" s="169"/>
      <c r="H533" s="169"/>
      <c r="I533" s="171"/>
      <c r="J533" s="169"/>
      <c r="K533" s="160"/>
      <c r="L533" s="160"/>
      <c r="M533" s="160"/>
      <c r="N533" s="160"/>
      <c r="O533" s="160"/>
      <c r="P533" s="160"/>
    </row>
    <row r="534" spans="1:16" ht="16.5">
      <c r="A534" s="160"/>
      <c r="B534" s="166"/>
      <c r="C534" s="170"/>
      <c r="D534" s="168"/>
      <c r="E534" s="169"/>
      <c r="F534" s="169"/>
      <c r="G534" s="169"/>
      <c r="H534" s="169"/>
      <c r="I534" s="171"/>
      <c r="J534" s="169"/>
      <c r="K534" s="160"/>
      <c r="L534" s="160"/>
      <c r="M534" s="160"/>
      <c r="N534" s="173"/>
      <c r="O534" s="174"/>
      <c r="P534" s="160"/>
    </row>
    <row r="535" spans="1:16" ht="16.5">
      <c r="A535" s="160"/>
      <c r="B535" s="160"/>
      <c r="C535" s="160"/>
      <c r="D535" s="160"/>
      <c r="E535" s="160"/>
      <c r="F535" s="160"/>
      <c r="G535" s="160"/>
      <c r="H535" s="160"/>
      <c r="I535" s="144"/>
      <c r="J535" s="161"/>
      <c r="K535" s="160"/>
      <c r="L535" s="160"/>
      <c r="M535" s="160"/>
      <c r="N535" s="129"/>
      <c r="O535" s="175"/>
      <c r="P535" s="160"/>
    </row>
    <row r="536" spans="1:16">
      <c r="A536" s="160"/>
      <c r="B536" s="160"/>
      <c r="C536" s="160"/>
      <c r="D536" s="160"/>
      <c r="E536" s="160"/>
      <c r="F536" s="160"/>
      <c r="G536" s="160"/>
      <c r="H536" s="160"/>
      <c r="I536" s="144"/>
      <c r="J536" s="161"/>
      <c r="K536" s="160"/>
      <c r="L536" s="160"/>
      <c r="M536" s="160"/>
      <c r="N536" s="160"/>
      <c r="O536" s="160"/>
      <c r="P536" s="160"/>
    </row>
    <row r="537" spans="1:16">
      <c r="A537" s="160"/>
      <c r="B537" s="160"/>
      <c r="C537" s="160"/>
      <c r="D537" s="160"/>
      <c r="E537" s="160"/>
      <c r="F537" s="160"/>
      <c r="G537" s="160"/>
      <c r="H537" s="160"/>
      <c r="I537" s="144"/>
      <c r="J537" s="161"/>
      <c r="K537" s="160"/>
      <c r="L537" s="160"/>
      <c r="M537" s="160"/>
      <c r="N537" s="160"/>
      <c r="O537" s="160"/>
      <c r="P537" s="160"/>
    </row>
    <row r="538" spans="1:16">
      <c r="A538" s="160"/>
      <c r="B538" s="160"/>
      <c r="C538" s="160"/>
      <c r="D538" s="160"/>
      <c r="E538" s="160"/>
      <c r="F538" s="160"/>
      <c r="G538" s="160"/>
      <c r="H538" s="160"/>
      <c r="I538" s="144"/>
      <c r="J538" s="161"/>
      <c r="K538" s="160"/>
      <c r="L538" s="160"/>
      <c r="M538" s="160"/>
      <c r="N538" s="160"/>
      <c r="O538" s="160"/>
      <c r="P538" s="160"/>
    </row>
    <row r="539" spans="1:16">
      <c r="A539" s="160"/>
      <c r="B539" s="160"/>
      <c r="C539" s="160"/>
      <c r="D539" s="160"/>
      <c r="E539" s="160"/>
      <c r="F539" s="160"/>
      <c r="G539" s="160"/>
      <c r="H539" s="160"/>
      <c r="I539" s="144"/>
      <c r="J539" s="161"/>
      <c r="K539" s="160"/>
      <c r="L539" s="160"/>
      <c r="M539" s="160"/>
      <c r="N539" s="160"/>
      <c r="O539" s="160"/>
      <c r="P539" s="160"/>
    </row>
    <row r="540" spans="1:16">
      <c r="A540" s="160"/>
      <c r="B540" s="160"/>
      <c r="C540" s="160"/>
      <c r="D540" s="160"/>
      <c r="E540" s="160"/>
      <c r="F540" s="160"/>
      <c r="G540" s="160"/>
      <c r="H540" s="160"/>
      <c r="I540" s="144"/>
      <c r="J540" s="161"/>
      <c r="K540" s="160"/>
      <c r="L540" s="160"/>
      <c r="M540" s="160"/>
      <c r="N540" s="160"/>
      <c r="O540" s="160"/>
      <c r="P540" s="160"/>
    </row>
    <row r="541" spans="1:16">
      <c r="A541" s="160"/>
      <c r="B541" s="160"/>
      <c r="C541" s="160"/>
      <c r="D541" s="160"/>
      <c r="E541" s="160"/>
      <c r="F541" s="160"/>
      <c r="G541" s="160"/>
      <c r="H541" s="160"/>
      <c r="I541" s="144"/>
      <c r="J541" s="161"/>
      <c r="K541" s="160"/>
      <c r="L541" s="160"/>
      <c r="M541" s="160"/>
      <c r="N541" s="160"/>
      <c r="O541" s="160"/>
      <c r="P541" s="160"/>
    </row>
    <row r="542" spans="1:16">
      <c r="A542" s="160"/>
      <c r="B542" s="160"/>
      <c r="C542" s="160"/>
      <c r="D542" s="160"/>
      <c r="E542" s="160"/>
      <c r="F542" s="160"/>
      <c r="G542" s="160"/>
      <c r="H542" s="160"/>
      <c r="I542" s="144"/>
      <c r="J542" s="161"/>
      <c r="K542" s="160"/>
      <c r="L542" s="160"/>
      <c r="M542" s="160"/>
      <c r="N542" s="160"/>
      <c r="O542" s="160"/>
      <c r="P542" s="160"/>
    </row>
    <row r="543" spans="1:16">
      <c r="A543" s="160"/>
      <c r="B543" s="160"/>
      <c r="C543" s="160"/>
      <c r="D543" s="160"/>
      <c r="E543" s="160"/>
      <c r="F543" s="160"/>
      <c r="G543" s="160"/>
      <c r="H543" s="160"/>
      <c r="I543" s="144"/>
      <c r="J543" s="161"/>
      <c r="K543" s="160"/>
      <c r="L543" s="160"/>
      <c r="M543" s="160"/>
      <c r="N543" s="160"/>
      <c r="O543" s="160"/>
      <c r="P543" s="160"/>
    </row>
    <row r="544" spans="1:16">
      <c r="A544" s="160"/>
      <c r="B544" s="160"/>
      <c r="C544" s="160"/>
      <c r="D544" s="160"/>
      <c r="E544" s="160"/>
      <c r="F544" s="160"/>
      <c r="G544" s="160"/>
      <c r="H544" s="160"/>
      <c r="I544" s="144"/>
      <c r="J544" s="161"/>
      <c r="K544" s="160"/>
      <c r="L544" s="160"/>
      <c r="M544" s="160"/>
      <c r="N544" s="160"/>
      <c r="O544" s="160"/>
      <c r="P544" s="160"/>
    </row>
    <row r="545" spans="1:16">
      <c r="A545" s="160"/>
      <c r="B545" s="160"/>
      <c r="C545" s="160"/>
      <c r="D545" s="160"/>
      <c r="E545" s="160"/>
      <c r="F545" s="160"/>
      <c r="G545" s="160"/>
      <c r="H545" s="160"/>
      <c r="I545" s="144"/>
      <c r="J545" s="161"/>
      <c r="K545" s="160"/>
      <c r="L545" s="160"/>
      <c r="M545" s="160"/>
      <c r="N545" s="160"/>
      <c r="O545" s="160"/>
      <c r="P545" s="160"/>
    </row>
    <row r="546" spans="1:16">
      <c r="A546" s="160"/>
      <c r="B546" s="160"/>
      <c r="C546" s="160"/>
      <c r="D546" s="176"/>
      <c r="E546" s="160"/>
      <c r="F546" s="160"/>
      <c r="G546" s="160"/>
      <c r="H546" s="160"/>
      <c r="I546" s="144"/>
      <c r="J546" s="161"/>
      <c r="K546" s="160"/>
      <c r="L546" s="160"/>
      <c r="M546" s="160"/>
      <c r="N546" s="160"/>
      <c r="O546" s="160"/>
      <c r="P546" s="160"/>
    </row>
    <row r="547" spans="1:16">
      <c r="A547" s="160"/>
      <c r="B547" s="160"/>
      <c r="C547" s="160"/>
      <c r="D547" s="176"/>
      <c r="E547" s="160"/>
      <c r="F547" s="160"/>
      <c r="G547" s="160"/>
      <c r="H547" s="160"/>
      <c r="I547" s="144"/>
      <c r="J547" s="161"/>
      <c r="K547" s="160"/>
      <c r="L547" s="160"/>
      <c r="M547" s="160"/>
      <c r="N547" s="160"/>
      <c r="O547" s="160"/>
      <c r="P547" s="160"/>
    </row>
  </sheetData>
  <mergeCells count="14">
    <mergeCell ref="H165:H171"/>
    <mergeCell ref="H230:H235"/>
    <mergeCell ref="H288:H300"/>
    <mergeCell ref="H151:H155"/>
    <mergeCell ref="H97:H98"/>
    <mergeCell ref="H114:H120"/>
    <mergeCell ref="I527:I529"/>
    <mergeCell ref="I530:I531"/>
    <mergeCell ref="I97:I98"/>
    <mergeCell ref="I114:I120"/>
    <mergeCell ref="I151:I155"/>
    <mergeCell ref="I165:I171"/>
    <mergeCell ref="I230:I235"/>
    <mergeCell ref="I288:I300"/>
  </mergeCells>
  <phoneticPr fontId="7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opLeftCell="A7" workbookViewId="0">
      <selection activeCell="B34" sqref="B34"/>
    </sheetView>
  </sheetViews>
  <sheetFormatPr defaultRowHeight="15.75"/>
  <cols>
    <col min="1" max="1" width="12.42578125" bestFit="1" customWidth="1"/>
    <col min="2" max="2" width="12.5703125" bestFit="1" customWidth="1"/>
    <col min="3" max="3" width="12.85546875" bestFit="1" customWidth="1"/>
    <col min="4" max="4" width="13.28515625" bestFit="1" customWidth="1"/>
    <col min="5" max="5" width="11" bestFit="1" customWidth="1"/>
    <col min="6" max="6" width="13.28515625" bestFit="1" customWidth="1"/>
    <col min="7" max="7" width="15.85546875" bestFit="1" customWidth="1"/>
    <col min="8" max="8" width="13.5703125" bestFit="1" customWidth="1"/>
    <col min="9" max="9" width="17.140625" bestFit="1" customWidth="1"/>
    <col min="10" max="10" width="15.85546875" bestFit="1" customWidth="1"/>
    <col min="11" max="11" width="22.42578125" bestFit="1" customWidth="1"/>
    <col min="12" max="12" width="23.7109375" bestFit="1" customWidth="1"/>
    <col min="13" max="13" width="20.28515625" bestFit="1" customWidth="1"/>
    <col min="14" max="14" width="14.28515625" customWidth="1"/>
    <col min="15" max="15" width="15" bestFit="1" customWidth="1"/>
    <col min="16" max="16" width="13.85546875" bestFit="1" customWidth="1"/>
    <col min="17" max="17" width="13.42578125" customWidth="1"/>
    <col min="18" max="18" width="11.85546875" customWidth="1"/>
    <col min="19" max="19" width="12.7109375" customWidth="1"/>
    <col min="20" max="20" width="26.7109375" customWidth="1"/>
  </cols>
  <sheetData>
    <row r="1" spans="1:20" s="11" customFormat="1" ht="18.75" customHeight="1">
      <c r="A1" s="95" t="s">
        <v>677</v>
      </c>
      <c r="B1" s="95" t="s">
        <v>678</v>
      </c>
      <c r="C1" s="95" t="s">
        <v>679</v>
      </c>
      <c r="D1" s="95" t="s">
        <v>680</v>
      </c>
      <c r="E1" s="96" t="s">
        <v>681</v>
      </c>
      <c r="F1" s="97" t="s">
        <v>682</v>
      </c>
      <c r="G1" s="98" t="s">
        <v>683</v>
      </c>
      <c r="H1" s="98" t="s">
        <v>684</v>
      </c>
      <c r="I1" s="98" t="s">
        <v>685</v>
      </c>
      <c r="J1" s="99" t="s">
        <v>686</v>
      </c>
      <c r="K1" s="95" t="s">
        <v>687</v>
      </c>
      <c r="L1" s="96" t="s">
        <v>688</v>
      </c>
      <c r="M1" s="95" t="s">
        <v>689</v>
      </c>
      <c r="N1" s="11" t="s">
        <v>690</v>
      </c>
      <c r="O1" s="11" t="s">
        <v>691</v>
      </c>
      <c r="P1" s="11" t="s">
        <v>692</v>
      </c>
      <c r="Q1" s="11" t="s">
        <v>693</v>
      </c>
      <c r="R1" s="11" t="s">
        <v>694</v>
      </c>
      <c r="S1" s="11" t="s">
        <v>695</v>
      </c>
      <c r="T1" s="11" t="s">
        <v>5</v>
      </c>
    </row>
    <row r="2" spans="1:20">
      <c r="A2" s="100" t="s">
        <v>696</v>
      </c>
      <c r="B2" s="3" t="s">
        <v>697</v>
      </c>
      <c r="C2" s="101">
        <v>43673</v>
      </c>
      <c r="D2" s="102">
        <f>121+42.513/60</f>
        <v>121.70855</v>
      </c>
      <c r="E2" s="103">
        <f>24+2.863/60</f>
        <v>24.047716666666666</v>
      </c>
      <c r="F2" s="104">
        <v>0.50277777777777777</v>
      </c>
      <c r="G2" s="105">
        <f>121+42.031/60</f>
        <v>121.70051666666667</v>
      </c>
      <c r="H2" s="106">
        <f>24+2.288/60</f>
        <v>24.038133333333334</v>
      </c>
      <c r="I2" s="3">
        <v>230.8</v>
      </c>
      <c r="J2" s="107">
        <v>0.51874999999999993</v>
      </c>
      <c r="K2" s="108">
        <v>1.8</v>
      </c>
      <c r="L2" s="109">
        <v>600</v>
      </c>
      <c r="M2" s="103">
        <f>121+41.771/60</f>
        <v>121.69618333333334</v>
      </c>
      <c r="N2" s="103">
        <f>24+1.946/60</f>
        <v>24.032433333333334</v>
      </c>
      <c r="O2" s="109">
        <v>236.4</v>
      </c>
      <c r="P2" s="104">
        <v>0.52847222222222223</v>
      </c>
      <c r="Q2" s="105">
        <f>121+41.484/60</f>
        <v>121.6914</v>
      </c>
      <c r="R2" s="106">
        <f>24+1.586/60</f>
        <v>24.026433333333333</v>
      </c>
      <c r="S2" s="110">
        <v>0.54375000000000007</v>
      </c>
      <c r="T2" s="109"/>
    </row>
    <row r="3" spans="1:20">
      <c r="A3" s="100" t="s">
        <v>696</v>
      </c>
      <c r="B3" s="3" t="s">
        <v>698</v>
      </c>
      <c r="C3" s="101">
        <v>43673</v>
      </c>
      <c r="D3" s="102">
        <f>121+41.439/60</f>
        <v>121.69065000000001</v>
      </c>
      <c r="E3" s="103">
        <f>24+1.598/60</f>
        <v>24.026633333333333</v>
      </c>
      <c r="F3" s="104">
        <v>0.56874999999999998</v>
      </c>
      <c r="G3" s="105">
        <f>121+41.821/60</f>
        <v>121.69701666666667</v>
      </c>
      <c r="H3" s="106">
        <f>24+2.005/60</f>
        <v>24.033416666666668</v>
      </c>
      <c r="I3" s="3">
        <v>239.5</v>
      </c>
      <c r="J3" s="107">
        <v>0.57916666666666672</v>
      </c>
      <c r="K3" s="108">
        <v>2</v>
      </c>
      <c r="L3" s="109">
        <v>600</v>
      </c>
      <c r="M3" s="103">
        <f>121+42.433/60</f>
        <v>121.70721666666667</v>
      </c>
      <c r="N3" s="103">
        <f>24+2.784/60</f>
        <v>24.046399999999998</v>
      </c>
      <c r="O3" s="109">
        <v>242</v>
      </c>
      <c r="P3" s="104">
        <v>0.6</v>
      </c>
      <c r="Q3" s="105">
        <f>121+42.822/60</f>
        <v>121.7137</v>
      </c>
      <c r="R3" s="106">
        <f>24+3.33/60</f>
        <v>24.055499999999999</v>
      </c>
      <c r="S3" s="110">
        <v>0.6166666666666667</v>
      </c>
      <c r="T3" s="109"/>
    </row>
    <row r="4" spans="1:20" ht="16.5">
      <c r="A4" s="100" t="s">
        <v>418</v>
      </c>
      <c r="B4" s="3" t="s">
        <v>699</v>
      </c>
      <c r="C4" s="101">
        <v>43673</v>
      </c>
      <c r="D4" s="102">
        <f>121+42.822/60</f>
        <v>121.7137</v>
      </c>
      <c r="E4" s="103">
        <f>24+3.25/60</f>
        <v>24.054166666666667</v>
      </c>
      <c r="F4" s="104">
        <v>0.63055555555555554</v>
      </c>
      <c r="G4" s="105">
        <f>121+42.148/60</f>
        <v>121.70246666666667</v>
      </c>
      <c r="H4" s="106">
        <f>24+2.436/60</f>
        <v>24.040600000000001</v>
      </c>
      <c r="I4" s="3">
        <v>233.6</v>
      </c>
      <c r="J4" s="111">
        <v>0.65208333333333335</v>
      </c>
      <c r="K4" s="108">
        <v>2</v>
      </c>
      <c r="L4" s="109">
        <v>600</v>
      </c>
      <c r="M4" s="103">
        <f>121+41.425/60</f>
        <v>121.69041666666666</v>
      </c>
      <c r="N4" s="103">
        <f>24+1.543/60</f>
        <v>24.025716666666668</v>
      </c>
      <c r="O4" s="109">
        <v>193.9</v>
      </c>
      <c r="P4" s="104">
        <v>0.67361111111111116</v>
      </c>
      <c r="Q4" s="105">
        <f>121+40.929/60</f>
        <v>121.68215000000001</v>
      </c>
      <c r="R4" s="106">
        <f>24+0.926/60</f>
        <v>24.015433333333334</v>
      </c>
      <c r="S4" s="110">
        <v>0.68888888888888899</v>
      </c>
      <c r="T4" s="109" t="s">
        <v>700</v>
      </c>
    </row>
    <row r="5" spans="1:20" ht="16.5">
      <c r="A5" s="100" t="s">
        <v>418</v>
      </c>
      <c r="B5" s="3" t="s">
        <v>701</v>
      </c>
      <c r="C5" s="101">
        <v>43674</v>
      </c>
      <c r="D5" s="102">
        <f>121+22.22/60</f>
        <v>121.37033333333333</v>
      </c>
      <c r="E5" s="103">
        <f>22+45.42/60</f>
        <v>22.757000000000001</v>
      </c>
      <c r="F5" s="104">
        <v>0.64583333333333337</v>
      </c>
      <c r="G5" s="105">
        <f>121+22.357/60</f>
        <v>121.37261666666667</v>
      </c>
      <c r="H5" s="106">
        <f>22+43.133/60</f>
        <v>22.718883333333334</v>
      </c>
      <c r="I5" s="3">
        <v>1265.7</v>
      </c>
      <c r="J5" s="107">
        <v>0.69444444444444453</v>
      </c>
      <c r="K5" s="108">
        <v>2</v>
      </c>
      <c r="L5" s="109">
        <v>2154</v>
      </c>
      <c r="M5" s="103">
        <f>121+22.389/60</f>
        <v>121.37315</v>
      </c>
      <c r="N5" s="103">
        <f>22+42.639/60</f>
        <v>22.710650000000001</v>
      </c>
      <c r="O5" s="109">
        <v>1279.3</v>
      </c>
      <c r="P5" s="104">
        <v>0.70486111111111116</v>
      </c>
      <c r="Q5" s="105">
        <f>121+22.537/60</f>
        <v>121.37561666666667</v>
      </c>
      <c r="R5" s="106">
        <f>24+40.386/60</f>
        <v>24.673100000000002</v>
      </c>
      <c r="S5" s="110">
        <v>0.75416666666666676</v>
      </c>
      <c r="T5" s="112" t="s">
        <v>702</v>
      </c>
    </row>
    <row r="6" spans="1:20">
      <c r="A6" s="100" t="s">
        <v>418</v>
      </c>
      <c r="B6" s="3" t="s">
        <v>703</v>
      </c>
      <c r="C6" s="101">
        <v>43674</v>
      </c>
      <c r="D6" s="102">
        <f>121+22.162/60</f>
        <v>121.36936666666666</v>
      </c>
      <c r="E6" s="103">
        <f>22+45.878/60</f>
        <v>22.764633333333332</v>
      </c>
      <c r="F6" s="104">
        <v>0.79027777777777775</v>
      </c>
      <c r="G6" s="105">
        <f>121+22.323/60</f>
        <v>121.37205</v>
      </c>
      <c r="H6" s="106">
        <f>22+43.52/60</f>
        <v>22.725333333333332</v>
      </c>
      <c r="I6" s="3">
        <v>1258</v>
      </c>
      <c r="J6" s="107">
        <v>0.83958333333333324</v>
      </c>
      <c r="K6" s="108">
        <v>1.8</v>
      </c>
      <c r="L6" s="109">
        <v>2500</v>
      </c>
      <c r="M6" s="103">
        <f>121+22.457/60</f>
        <v>121.37428333333334</v>
      </c>
      <c r="N6" s="103">
        <f>22+41.67/60</f>
        <v>22.694500000000001</v>
      </c>
      <c r="O6" s="109">
        <v>1322.8</v>
      </c>
      <c r="P6" s="104">
        <v>0.88055555555555554</v>
      </c>
      <c r="Q6" s="105">
        <f>121+22.414/60</f>
        <v>121.37356666666666</v>
      </c>
      <c r="R6" s="106">
        <f>22+39.646/60</f>
        <v>22.660766666666667</v>
      </c>
      <c r="S6" s="110">
        <v>0.9291666666666667</v>
      </c>
      <c r="T6" s="109" t="s">
        <v>704</v>
      </c>
    </row>
    <row r="7" spans="1:20">
      <c r="A7" s="100" t="s">
        <v>418</v>
      </c>
      <c r="B7" s="3" t="s">
        <v>705</v>
      </c>
      <c r="C7" s="101">
        <v>43675</v>
      </c>
      <c r="D7" s="102">
        <f>121+22.075/60</f>
        <v>121.36791666666667</v>
      </c>
      <c r="E7" s="103">
        <f>22+45.817/60</f>
        <v>22.763616666666667</v>
      </c>
      <c r="F7" s="104">
        <v>5.486111111111111E-2</v>
      </c>
      <c r="G7" s="105">
        <f>121+22.373/60</f>
        <v>121.37288333333333</v>
      </c>
      <c r="H7" s="106">
        <f>22+43.136/60</f>
        <v>22.718933333333332</v>
      </c>
      <c r="I7" s="3">
        <v>1266</v>
      </c>
      <c r="J7" s="107">
        <v>0.11527777777777777</v>
      </c>
      <c r="K7" s="108">
        <v>1.6</v>
      </c>
      <c r="L7" s="109">
        <v>2900.5</v>
      </c>
      <c r="M7" s="103">
        <f>121+22.485/60</f>
        <v>121.37475000000001</v>
      </c>
      <c r="N7" s="103">
        <f>22+41.521/60</f>
        <v>22.692016666666667</v>
      </c>
      <c r="O7" s="109">
        <v>1331.9</v>
      </c>
      <c r="P7" s="104">
        <v>0.15625</v>
      </c>
      <c r="Q7" s="105">
        <f>121+22.674/60</f>
        <v>121.3779</v>
      </c>
      <c r="R7" s="106">
        <f>22+38.623/60</f>
        <v>22.643716666666666</v>
      </c>
      <c r="S7" s="110">
        <v>0.21527777777777779</v>
      </c>
      <c r="T7" s="109"/>
    </row>
    <row r="8" spans="1:20">
      <c r="A8" s="100" t="s">
        <v>418</v>
      </c>
      <c r="B8" s="3" t="s">
        <v>706</v>
      </c>
      <c r="C8" s="101">
        <v>43675</v>
      </c>
      <c r="D8" s="102">
        <f>121+6.697/60</f>
        <v>121.11161666666666</v>
      </c>
      <c r="E8" s="103">
        <f>22+20.67/60</f>
        <v>22.3445</v>
      </c>
      <c r="F8" s="104">
        <v>0.78055555555555556</v>
      </c>
      <c r="G8" s="105">
        <f>121+4.795/60</f>
        <v>121.07991666666666</v>
      </c>
      <c r="H8" s="106">
        <f>22+18.553/60</f>
        <v>22.309216666666668</v>
      </c>
      <c r="I8" s="3">
        <v>1175.4000000000001</v>
      </c>
      <c r="J8" s="107">
        <v>0.84236111111111101</v>
      </c>
      <c r="K8" s="108">
        <v>1.8</v>
      </c>
      <c r="L8" s="109">
        <v>2999.6</v>
      </c>
      <c r="M8" s="103">
        <f>121+4.584/60</f>
        <v>121.07640000000001</v>
      </c>
      <c r="N8" s="103">
        <f>22+18.352/60</f>
        <v>22.305866666666667</v>
      </c>
      <c r="O8" s="109">
        <v>1178.8</v>
      </c>
      <c r="P8" s="104">
        <v>0.84861111111111109</v>
      </c>
      <c r="Q8" s="105">
        <f>121+4.295/60</f>
        <v>121.07158333333334</v>
      </c>
      <c r="R8" s="106">
        <f>22+16.215/60</f>
        <v>22.270250000000001</v>
      </c>
      <c r="S8" s="110">
        <v>0.9145833333333333</v>
      </c>
      <c r="T8" s="109" t="s">
        <v>707</v>
      </c>
    </row>
    <row r="9" spans="1:20" ht="16.5">
      <c r="A9" s="100" t="s">
        <v>418</v>
      </c>
      <c r="B9" s="3" t="s">
        <v>708</v>
      </c>
      <c r="C9" s="101">
        <v>43675</v>
      </c>
      <c r="D9" s="102">
        <f>121+3.1/60</f>
        <v>121.05166666666666</v>
      </c>
      <c r="E9" s="103">
        <f>22+17.803/60</f>
        <v>22.296716666666665</v>
      </c>
      <c r="F9" s="104">
        <v>0.9458333333333333</v>
      </c>
      <c r="G9" s="105">
        <f>121+3.011/60</f>
        <v>121.05018333333334</v>
      </c>
      <c r="H9" s="106">
        <f>22+16.101/60</f>
        <v>22.268350000000002</v>
      </c>
      <c r="I9" s="3">
        <v>1197.2</v>
      </c>
      <c r="J9" s="111">
        <v>0.98472222222222217</v>
      </c>
      <c r="K9" s="108">
        <v>2</v>
      </c>
      <c r="L9" s="109">
        <v>2000.7</v>
      </c>
      <c r="M9" s="103">
        <f>121+2.994/60</f>
        <v>121.04989999999999</v>
      </c>
      <c r="N9" s="103">
        <f>22+15.426/60</f>
        <v>22.257100000000001</v>
      </c>
      <c r="O9" s="109">
        <v>1200.2</v>
      </c>
      <c r="P9" s="104">
        <v>6.2499999999999995E-3</v>
      </c>
      <c r="Q9" s="105">
        <f>121+3.003/60</f>
        <v>121.05005</v>
      </c>
      <c r="R9" s="106">
        <f>22+14.129/60</f>
        <v>22.235483333333335</v>
      </c>
      <c r="S9" s="110">
        <v>6.1805555555555558E-2</v>
      </c>
      <c r="T9" s="109" t="s">
        <v>709</v>
      </c>
    </row>
    <row r="10" spans="1:20" ht="16.5">
      <c r="A10" s="100" t="s">
        <v>418</v>
      </c>
      <c r="B10" s="3" t="s">
        <v>710</v>
      </c>
      <c r="C10" s="101">
        <v>43679</v>
      </c>
      <c r="D10" s="102">
        <f>121+34.2977/60</f>
        <v>121.57162833333334</v>
      </c>
      <c r="E10" s="103">
        <f>21+45.3758/60</f>
        <v>21.756263333333333</v>
      </c>
      <c r="F10" s="104">
        <v>0.46527777777777773</v>
      </c>
      <c r="G10" s="105">
        <f>121+34.5518/60</f>
        <v>121.57586333333333</v>
      </c>
      <c r="H10" s="106">
        <f>21+44.9186/60</f>
        <v>21.748643333333334</v>
      </c>
      <c r="I10" s="3">
        <v>157.80000000000001</v>
      </c>
      <c r="J10" s="107">
        <v>0.47569444444444442</v>
      </c>
      <c r="K10" s="108">
        <v>2</v>
      </c>
      <c r="L10" s="109">
        <v>400.55</v>
      </c>
      <c r="M10" s="103">
        <f>121+34.7321/60</f>
        <v>121.57886833333333</v>
      </c>
      <c r="N10" s="103">
        <f>21+44.5468/60</f>
        <v>21.742446666666666</v>
      </c>
      <c r="O10" s="109">
        <v>159.80000000000001</v>
      </c>
      <c r="P10" s="104">
        <v>0.4861111111111111</v>
      </c>
      <c r="Q10" s="105">
        <f>121+34.9342/60</f>
        <v>121.58223666666666</v>
      </c>
      <c r="R10" s="106">
        <f>22+44.1294/60</f>
        <v>22.735489999999999</v>
      </c>
      <c r="S10" s="110">
        <v>0.49722222222222223</v>
      </c>
      <c r="T10" s="109"/>
    </row>
    <row r="11" spans="1:20" ht="16.5">
      <c r="A11" s="100" t="s">
        <v>418</v>
      </c>
      <c r="B11" s="113" t="s">
        <v>711</v>
      </c>
      <c r="C11" s="101">
        <v>43679</v>
      </c>
      <c r="D11" s="102">
        <f>121+34.178/60</f>
        <v>121.56963333333333</v>
      </c>
      <c r="E11" s="103">
        <f>21+45.674/60</f>
        <v>21.761233333333333</v>
      </c>
      <c r="F11" s="104">
        <v>0.52986111111111112</v>
      </c>
      <c r="G11" s="114"/>
      <c r="H11" s="115"/>
      <c r="I11" s="3">
        <v>163</v>
      </c>
      <c r="J11" s="107">
        <v>0.54027777777777775</v>
      </c>
      <c r="K11" s="108">
        <v>2</v>
      </c>
      <c r="L11" s="109">
        <v>405</v>
      </c>
      <c r="M11" s="103">
        <f>121+34.648/60</f>
        <v>121.57746666666667</v>
      </c>
      <c r="N11" s="103">
        <f>21+45.322/60</f>
        <v>21.755366666666667</v>
      </c>
      <c r="O11" s="109">
        <v>93</v>
      </c>
      <c r="P11" s="104">
        <v>0.55486111111111114</v>
      </c>
      <c r="Q11" s="114"/>
      <c r="R11" s="115"/>
      <c r="S11" s="110">
        <v>0.57291666666666663</v>
      </c>
      <c r="T11" s="109"/>
    </row>
    <row r="12" spans="1:20" ht="16.5">
      <c r="A12" s="100" t="s">
        <v>418</v>
      </c>
      <c r="B12" s="113" t="s">
        <v>712</v>
      </c>
      <c r="C12" s="101">
        <v>43679</v>
      </c>
      <c r="D12" s="102">
        <f>121+35.6342/60</f>
        <v>121.59390333333333</v>
      </c>
      <c r="E12" s="103">
        <f>21+40.1728/60</f>
        <v>21.669546666666665</v>
      </c>
      <c r="F12" s="104">
        <v>0.65</v>
      </c>
      <c r="G12" s="105">
        <f>121+34.917/60</f>
        <v>121.58195000000001</v>
      </c>
      <c r="H12" s="106">
        <f>21+41.0905/60</f>
        <v>21.684841666666667</v>
      </c>
      <c r="I12" s="3">
        <v>485</v>
      </c>
      <c r="J12" s="111">
        <v>0.68472222222222223</v>
      </c>
      <c r="K12" s="108">
        <v>3</v>
      </c>
      <c r="L12" s="109">
        <v>1100</v>
      </c>
      <c r="M12" s="103">
        <f>121+34.7349/60</f>
        <v>121.57891499999999</v>
      </c>
      <c r="N12" s="103">
        <f>21+41.3398/60</f>
        <v>21.688996666666668</v>
      </c>
      <c r="O12" s="109">
        <v>531.29999999999995</v>
      </c>
      <c r="P12" s="104">
        <v>0.69097222222222221</v>
      </c>
      <c r="Q12" s="105">
        <f>121+34.2184/60</f>
        <v>121.57030666666667</v>
      </c>
      <c r="R12" s="106">
        <f>21+42.1249/60</f>
        <v>21.702081666666668</v>
      </c>
      <c r="S12" s="110">
        <v>0.71597222222222223</v>
      </c>
      <c r="T12" s="109" t="s">
        <v>713</v>
      </c>
    </row>
    <row r="13" spans="1:20" ht="16.5">
      <c r="A13" s="100" t="s">
        <v>418</v>
      </c>
      <c r="B13" s="113" t="s">
        <v>714</v>
      </c>
      <c r="C13" s="101">
        <v>43680</v>
      </c>
      <c r="D13" s="102">
        <f>121+32.0693/60</f>
        <v>121.53448833333333</v>
      </c>
      <c r="E13" s="103">
        <f>21+13.352/60</f>
        <v>21.222533333333335</v>
      </c>
      <c r="F13" s="104">
        <v>0.37638888888888888</v>
      </c>
      <c r="G13" s="105">
        <f>121+32.2104/60</f>
        <v>121.53684</v>
      </c>
      <c r="H13" s="106">
        <f>21+12.145/60</f>
        <v>21.202416666666668</v>
      </c>
      <c r="I13" s="3">
        <v>600</v>
      </c>
      <c r="J13" s="107">
        <v>0.4055555555555555</v>
      </c>
      <c r="K13" s="108">
        <v>2</v>
      </c>
      <c r="L13" s="109">
        <v>1119</v>
      </c>
      <c r="M13" s="103">
        <f>121+32.3268/60</f>
        <v>121.53878</v>
      </c>
      <c r="N13" s="103">
        <f>21+11.8904/60</f>
        <v>21.198173333333333</v>
      </c>
      <c r="O13" s="109">
        <v>603.1</v>
      </c>
      <c r="P13" s="104">
        <v>0.41180555555555554</v>
      </c>
      <c r="Q13" s="105">
        <f>121+32.3107/60</f>
        <v>121.53851166666666</v>
      </c>
      <c r="R13" s="106">
        <f>21+10.8306/60</f>
        <v>21.180510000000002</v>
      </c>
      <c r="S13" s="110">
        <v>0.4368055555555555</v>
      </c>
      <c r="T13" s="109" t="s">
        <v>715</v>
      </c>
    </row>
    <row r="14" spans="1:20" ht="16.5">
      <c r="A14" s="100" t="s">
        <v>418</v>
      </c>
      <c r="B14" s="113" t="s">
        <v>716</v>
      </c>
      <c r="C14" s="101">
        <v>43680</v>
      </c>
      <c r="D14" s="102">
        <f>121+32.1052/60</f>
        <v>121.53508666666667</v>
      </c>
      <c r="E14" s="103">
        <f>21+13.1222/60</f>
        <v>21.218703333333334</v>
      </c>
      <c r="F14" s="104">
        <v>0.47013888888888888</v>
      </c>
      <c r="G14" s="105">
        <f>121+32.1905/60</f>
        <v>121.53650833333333</v>
      </c>
      <c r="H14" s="106">
        <f>21+12.1936/60</f>
        <v>21.203226666666666</v>
      </c>
      <c r="I14" s="3">
        <v>597</v>
      </c>
      <c r="J14" s="107">
        <v>0.49444444444444446</v>
      </c>
      <c r="K14" s="108">
        <v>2</v>
      </c>
      <c r="L14" s="109">
        <v>1050</v>
      </c>
      <c r="M14" s="103">
        <f>121+32.2251/60</f>
        <v>121.537085</v>
      </c>
      <c r="N14" s="103">
        <f>21+11.8887/60</f>
        <v>21.198145</v>
      </c>
      <c r="O14" s="109">
        <v>603.4</v>
      </c>
      <c r="P14" s="104">
        <v>0.50208333333333333</v>
      </c>
      <c r="Q14" s="105">
        <f>121+32.3554/60</f>
        <v>121.53925666666666</v>
      </c>
      <c r="R14" s="106">
        <f>21+10.745/60</f>
        <v>21.179083333333335</v>
      </c>
      <c r="S14" s="110">
        <v>0.52708333333333335</v>
      </c>
      <c r="T14" s="109"/>
    </row>
    <row r="15" spans="1:20" ht="16.5">
      <c r="A15" s="100" t="s">
        <v>418</v>
      </c>
      <c r="B15" s="113" t="s">
        <v>717</v>
      </c>
      <c r="C15" s="101">
        <v>43681</v>
      </c>
      <c r="D15" s="102">
        <f>120+42.3462/60</f>
        <v>120.70577</v>
      </c>
      <c r="E15" s="103">
        <f>21+37.5298/60</f>
        <v>21.625496666666667</v>
      </c>
      <c r="F15" s="104">
        <v>0.29722222222222222</v>
      </c>
      <c r="G15" s="114"/>
      <c r="H15" s="115"/>
      <c r="I15" s="63"/>
      <c r="J15" s="107">
        <v>0.32361111111111113</v>
      </c>
      <c r="K15" s="108">
        <v>2</v>
      </c>
      <c r="L15" s="109">
        <v>1500</v>
      </c>
      <c r="M15" s="103">
        <f>120+43.3585/60</f>
        <v>120.72264166666666</v>
      </c>
      <c r="N15" s="103">
        <f>21+36.1366/60</f>
        <v>21.602276666666668</v>
      </c>
      <c r="O15" s="109">
        <v>858.9</v>
      </c>
      <c r="P15" s="104">
        <v>0.33333333333333331</v>
      </c>
      <c r="Q15" s="105">
        <f>120+44.2267/60</f>
        <v>120.73711166666666</v>
      </c>
      <c r="R15" s="106">
        <f>21+34.9248/60</f>
        <v>21.582080000000001</v>
      </c>
      <c r="S15" s="110">
        <v>0.36458333333333331</v>
      </c>
      <c r="T15" s="109" t="s">
        <v>718</v>
      </c>
    </row>
    <row r="16" spans="1:20" ht="16.5">
      <c r="A16" s="100" t="s">
        <v>418</v>
      </c>
      <c r="B16" s="113" t="s">
        <v>719</v>
      </c>
      <c r="C16" s="101">
        <v>43681</v>
      </c>
      <c r="D16" s="102">
        <f>120+42.803/60</f>
        <v>120.71338333333334</v>
      </c>
      <c r="E16" s="103">
        <f>21+36.9086/60</f>
        <v>21.615143333333332</v>
      </c>
      <c r="F16" s="104">
        <v>0.38750000000000001</v>
      </c>
      <c r="G16" s="105">
        <f>120+43.8078/60</f>
        <v>120.73013</v>
      </c>
      <c r="H16" s="106">
        <f>21+35.5115/60</f>
        <v>21.591858333333334</v>
      </c>
      <c r="I16" s="3">
        <v>852</v>
      </c>
      <c r="J16" s="107">
        <v>0.42569444444444443</v>
      </c>
      <c r="K16" s="108">
        <v>2</v>
      </c>
      <c r="L16" s="109">
        <v>1750</v>
      </c>
      <c r="M16" s="103">
        <f>120+44.1922/60</f>
        <v>120.73653666666667</v>
      </c>
      <c r="N16" s="103">
        <f>21+34.9226/60</f>
        <v>21.582043333333335</v>
      </c>
      <c r="O16" s="109">
        <v>852.77</v>
      </c>
      <c r="P16" s="104">
        <v>0.44097222222222227</v>
      </c>
      <c r="Q16" s="105">
        <f>120+45.251/60</f>
        <v>120.75418333333333</v>
      </c>
      <c r="R16" s="106">
        <f>21+33.4158/60</f>
        <v>21.556930000000001</v>
      </c>
      <c r="S16" s="110">
        <v>0.48333333333333334</v>
      </c>
      <c r="T16" s="109"/>
    </row>
    <row r="17" spans="1:20" ht="16.5">
      <c r="A17" s="100" t="s">
        <v>418</v>
      </c>
      <c r="B17" s="113" t="s">
        <v>720</v>
      </c>
      <c r="C17" s="101">
        <v>43681</v>
      </c>
      <c r="D17" s="102">
        <f>120+42.7216/60</f>
        <v>120.71202666666667</v>
      </c>
      <c r="E17" s="103">
        <f>21+37.0072/60</f>
        <v>21.616786666666666</v>
      </c>
      <c r="F17" s="104">
        <v>0.52708333333333335</v>
      </c>
      <c r="G17" s="105">
        <f>120+43.6571/60</f>
        <v>120.72761833333334</v>
      </c>
      <c r="H17" s="106">
        <f>21+35.7896/60</f>
        <v>21.596493333333335</v>
      </c>
      <c r="I17" s="3">
        <v>851.5</v>
      </c>
      <c r="J17" s="107">
        <v>0.56319444444444444</v>
      </c>
      <c r="K17" s="108">
        <v>2</v>
      </c>
      <c r="L17" s="109">
        <v>2005.5</v>
      </c>
      <c r="M17" s="103">
        <f>120+43.7613/60</f>
        <v>120.729355</v>
      </c>
      <c r="N17" s="103">
        <f>21+35.6464/60</f>
        <v>21.594106666666665</v>
      </c>
      <c r="O17" s="109">
        <v>850</v>
      </c>
      <c r="P17" s="104">
        <v>0.56944444444444442</v>
      </c>
      <c r="Q17" s="105">
        <f>120+45.2429/60</f>
        <v>120.75404833333333</v>
      </c>
      <c r="R17" s="106">
        <f>21+35.4404/60</f>
        <v>21.590673333333335</v>
      </c>
      <c r="S17" s="110">
        <v>0.61388888888888882</v>
      </c>
      <c r="T17" s="109"/>
    </row>
    <row r="18" spans="1:20" ht="16.5">
      <c r="A18" s="100" t="s">
        <v>418</v>
      </c>
      <c r="B18" s="113" t="s">
        <v>721</v>
      </c>
      <c r="C18" s="101">
        <v>43681</v>
      </c>
      <c r="D18" s="102">
        <f>120+43.545/60</f>
        <v>120.72575000000001</v>
      </c>
      <c r="E18" s="103">
        <f>21+35.875/60</f>
        <v>21.597916666666666</v>
      </c>
      <c r="F18" s="104">
        <v>0.6381944444444444</v>
      </c>
      <c r="G18" s="105">
        <f>120+44.5971/60</f>
        <v>120.743285</v>
      </c>
      <c r="H18" s="106">
        <f>21+34.4251/60</f>
        <v>21.573751666666666</v>
      </c>
      <c r="I18" s="3">
        <v>844.3</v>
      </c>
      <c r="J18" s="116">
        <v>0.6743055555555556</v>
      </c>
      <c r="K18" s="108">
        <v>2</v>
      </c>
      <c r="L18" s="109">
        <v>1799.3</v>
      </c>
      <c r="M18" s="103">
        <f>120+44.892/60</f>
        <v>120.7482</v>
      </c>
      <c r="N18" s="103">
        <f>21+34.0345/60</f>
        <v>21.567241666666668</v>
      </c>
      <c r="O18" s="109">
        <v>846.5</v>
      </c>
      <c r="P18" s="104">
        <v>0.68402777777777779</v>
      </c>
      <c r="Q18" s="105">
        <f>120+45.9371/60</f>
        <v>120.76561833333334</v>
      </c>
      <c r="R18" s="106">
        <f>21+32.7889/60</f>
        <v>21.546481666666665</v>
      </c>
      <c r="S18" s="110">
        <v>0.71944444444444444</v>
      </c>
      <c r="T18" s="109" t="s">
        <v>722</v>
      </c>
    </row>
    <row r="19" spans="1:20">
      <c r="A19" s="100" t="s">
        <v>418</v>
      </c>
      <c r="B19" s="113" t="s">
        <v>723</v>
      </c>
      <c r="C19" s="101">
        <v>43681</v>
      </c>
      <c r="D19" s="117">
        <f>120+39.6157/60</f>
        <v>120.66026166666667</v>
      </c>
      <c r="E19" s="118">
        <f>21+43.9333/60</f>
        <v>21.732221666666668</v>
      </c>
      <c r="F19" s="104">
        <v>0.87430555555555556</v>
      </c>
      <c r="G19" s="119">
        <f>120+39.1706/60</f>
        <v>120.65284333333334</v>
      </c>
      <c r="H19" s="119">
        <f>21+45.9783/60</f>
        <v>21.766304999999999</v>
      </c>
      <c r="I19" s="120">
        <v>931.5</v>
      </c>
      <c r="J19" s="107">
        <v>0.9194444444444444</v>
      </c>
      <c r="K19" s="108">
        <v>2</v>
      </c>
      <c r="L19" s="109">
        <v>1900</v>
      </c>
      <c r="M19" s="118">
        <f>120+39.0587/60</f>
        <v>120.65097833333333</v>
      </c>
      <c r="N19" s="118">
        <f>21+40.5695/60</f>
        <v>21.676158333333333</v>
      </c>
      <c r="O19" s="121">
        <v>930.2</v>
      </c>
      <c r="P19" s="104">
        <v>0.93125000000000002</v>
      </c>
      <c r="Q19" s="122">
        <f>120+38.7088/60</f>
        <v>120.64514666666666</v>
      </c>
      <c r="R19" s="123">
        <f>21+48.2575/60</f>
        <v>21.804291666666668</v>
      </c>
      <c r="S19" s="124">
        <v>0.96805555555555556</v>
      </c>
      <c r="T19" s="109"/>
    </row>
    <row r="20" spans="1:20" s="3" customFormat="1">
      <c r="A20" s="100" t="s">
        <v>418</v>
      </c>
      <c r="B20" s="113" t="s">
        <v>724</v>
      </c>
      <c r="C20" s="101">
        <v>43682</v>
      </c>
      <c r="D20" s="125">
        <f>120+0.1739/60</f>
        <v>120.00289833333333</v>
      </c>
      <c r="E20" s="103">
        <f>22+13.14/60</f>
        <v>22.219000000000001</v>
      </c>
      <c r="F20" s="104">
        <v>0.29166666666666669</v>
      </c>
      <c r="G20" s="106">
        <f>120+0.2256/60</f>
        <v>120.00376</v>
      </c>
      <c r="H20" s="106">
        <f>22+14.5945/60</f>
        <v>22.243241666666666</v>
      </c>
      <c r="I20" s="3">
        <v>999</v>
      </c>
      <c r="J20" s="107">
        <v>0.32708333333333334</v>
      </c>
      <c r="K20" s="109">
        <v>2</v>
      </c>
      <c r="L20" s="109">
        <v>1999.9</v>
      </c>
      <c r="M20" s="103">
        <f>120+0.2747/60</f>
        <v>120.00457833333333</v>
      </c>
      <c r="N20" s="103">
        <f>22+15.8848/60</f>
        <v>22.264746666666667</v>
      </c>
      <c r="O20" s="109">
        <v>1011.23</v>
      </c>
      <c r="P20" s="104">
        <v>0.35416666666666669</v>
      </c>
      <c r="Q20" s="106">
        <f>120+0.3188/60</f>
        <v>120.00531333333333</v>
      </c>
      <c r="R20" s="106">
        <f>22+17.6884/60</f>
        <v>22.294806666666666</v>
      </c>
      <c r="S20" s="126">
        <v>0.3923611111111111</v>
      </c>
      <c r="T20" s="109"/>
    </row>
    <row r="21" spans="1:20" s="3" customFormat="1" ht="16.5">
      <c r="A21" s="100" t="s">
        <v>418</v>
      </c>
      <c r="B21" s="113" t="s">
        <v>725</v>
      </c>
      <c r="C21" s="101">
        <v>43682</v>
      </c>
      <c r="D21" s="125">
        <f>120+7.319/60</f>
        <v>120.12198333333333</v>
      </c>
      <c r="E21" s="103">
        <f>22+17.753/60</f>
        <v>22.295883333333332</v>
      </c>
      <c r="F21" s="104">
        <v>0.47152777777777777</v>
      </c>
      <c r="G21" s="106">
        <f>120+7.1106/60</f>
        <v>120.11851</v>
      </c>
      <c r="H21" s="106">
        <f>22+18.8726/60</f>
        <v>22.314543333333333</v>
      </c>
      <c r="I21" s="3">
        <v>722</v>
      </c>
      <c r="J21" s="107">
        <v>0.49722222222222223</v>
      </c>
      <c r="K21" s="109">
        <v>2</v>
      </c>
      <c r="L21" s="109">
        <v>1400</v>
      </c>
      <c r="M21" s="103">
        <f>120+6.9565/60</f>
        <v>120.11594166666667</v>
      </c>
      <c r="N21" s="103">
        <f>22+19.7399/60</f>
        <v>22.328998333333335</v>
      </c>
      <c r="O21" s="109">
        <v>707.2</v>
      </c>
      <c r="P21" s="104">
        <v>0.51736111111111105</v>
      </c>
      <c r="Q21" s="106">
        <f>120+6.7401/60</f>
        <v>120.112335</v>
      </c>
      <c r="R21" s="106">
        <f>22+20.9422/60</f>
        <v>22.349036666666667</v>
      </c>
      <c r="S21" s="126">
        <v>0.54513888888888895</v>
      </c>
      <c r="T21" s="109"/>
    </row>
    <row r="22" spans="1:20" s="3" customFormat="1">
      <c r="A22" s="100" t="s">
        <v>470</v>
      </c>
      <c r="B22" s="3" t="s">
        <v>726</v>
      </c>
      <c r="C22" s="101">
        <v>43770</v>
      </c>
      <c r="D22" s="125">
        <f>122+7.0213/60</f>
        <v>122.11702166666667</v>
      </c>
      <c r="E22" s="103">
        <f>24+37.9234/60</f>
        <v>24.632056666666667</v>
      </c>
      <c r="F22" s="104">
        <v>0.81041666666666667</v>
      </c>
      <c r="G22" s="106">
        <f>122+7.1948/60</f>
        <v>122.11991333333333</v>
      </c>
      <c r="H22" s="106">
        <f>24+37.6599/60</f>
        <v>24.627665</v>
      </c>
      <c r="I22" s="3">
        <v>197.96</v>
      </c>
      <c r="J22" s="107">
        <v>0.82430555555555562</v>
      </c>
      <c r="K22" s="109">
        <v>1</v>
      </c>
      <c r="L22" s="109">
        <v>600.29999999999995</v>
      </c>
      <c r="M22" s="103">
        <f>122+6.5872/60</f>
        <v>122.10978666666666</v>
      </c>
      <c r="N22" s="103">
        <f>24+37.2892/60</f>
        <v>24.621486666666666</v>
      </c>
      <c r="O22" s="109">
        <v>198.9</v>
      </c>
      <c r="P22" s="104">
        <v>0.83958333333333324</v>
      </c>
      <c r="Q22" s="106">
        <f>122+6.1544/60</f>
        <v>122.10257333333334</v>
      </c>
      <c r="R22" s="106">
        <f>24+37.0241/60</f>
        <v>24.617068333333332</v>
      </c>
      <c r="S22" s="126">
        <v>0.8520833333333333</v>
      </c>
      <c r="T22" s="109" t="s">
        <v>727</v>
      </c>
    </row>
    <row r="23" spans="1:20" s="2" customFormat="1">
      <c r="A23" s="100" t="s">
        <v>470</v>
      </c>
      <c r="B23" s="3" t="s">
        <v>728</v>
      </c>
      <c r="C23" s="101">
        <v>43771</v>
      </c>
      <c r="D23" s="125">
        <f>121+5.937/60</f>
        <v>121.09895</v>
      </c>
      <c r="E23" s="103">
        <f>25+7.452/60</f>
        <v>25.124199999999998</v>
      </c>
      <c r="F23" s="104">
        <v>0.38750000000000001</v>
      </c>
      <c r="G23" s="106">
        <f>121+6.048/60</f>
        <v>121.10080000000001</v>
      </c>
      <c r="H23" s="106">
        <f>25+7.5371/60</f>
        <v>25.125618333333332</v>
      </c>
      <c r="I23" s="3">
        <v>50</v>
      </c>
      <c r="J23" s="107">
        <v>0.39166666666666666</v>
      </c>
      <c r="K23" s="109">
        <v>1</v>
      </c>
      <c r="L23" s="63"/>
      <c r="M23" s="103">
        <f>121+6.4364/60</f>
        <v>121.10727333333334</v>
      </c>
      <c r="N23" s="103">
        <f>25+7.7983/60</f>
        <v>25.129971666666666</v>
      </c>
      <c r="O23" s="109">
        <v>51.1</v>
      </c>
      <c r="P23" s="104">
        <v>0.40138888888888885</v>
      </c>
      <c r="Q23" s="106">
        <f>121+6.6735/60</f>
        <v>121.111225</v>
      </c>
      <c r="R23" s="106">
        <f>25+7.9173/60</f>
        <v>25.131955000000001</v>
      </c>
      <c r="S23" s="126">
        <v>0.40625</v>
      </c>
      <c r="T23" s="109"/>
    </row>
    <row r="24" spans="1:20" s="2" customFormat="1">
      <c r="A24" s="100" t="s">
        <v>470</v>
      </c>
      <c r="B24" s="3" t="s">
        <v>729</v>
      </c>
      <c r="C24" s="101">
        <v>43772</v>
      </c>
      <c r="D24" s="125">
        <f>119+59.4784/60</f>
        <v>119.99130666666667</v>
      </c>
      <c r="E24" s="103">
        <f>22+17.7128/60</f>
        <v>22.295213333333333</v>
      </c>
      <c r="F24" s="104">
        <v>0.41111111111111115</v>
      </c>
      <c r="G24" s="106">
        <f>119+59.6581/60</f>
        <v>119.99430166666667</v>
      </c>
      <c r="H24" s="106">
        <f>22+15.8075/60</f>
        <v>22.263458333333332</v>
      </c>
      <c r="I24" s="3">
        <v>986.6</v>
      </c>
      <c r="J24" s="107">
        <v>0.44861111111111113</v>
      </c>
      <c r="K24" s="109">
        <v>1</v>
      </c>
      <c r="L24" s="109">
        <v>1800.5</v>
      </c>
      <c r="M24" s="103">
        <f>119+59.7353/60</f>
        <v>119.99558833333333</v>
      </c>
      <c r="N24" s="103">
        <f>22+15.1756/60</f>
        <v>22.252926666666667</v>
      </c>
      <c r="O24" s="109">
        <v>984</v>
      </c>
      <c r="P24" s="104">
        <v>0.46319444444444446</v>
      </c>
      <c r="Q24" s="106">
        <f>119+59.8779/60</f>
        <v>119.99796499999999</v>
      </c>
      <c r="R24" s="106">
        <f>22+10.6065/60</f>
        <v>22.176774999999999</v>
      </c>
      <c r="S24" s="126">
        <v>0.55833333333333335</v>
      </c>
      <c r="T24" s="109" t="s">
        <v>730</v>
      </c>
    </row>
    <row r="25" spans="1:20" s="3" customFormat="1">
      <c r="A25" s="100" t="s">
        <v>731</v>
      </c>
      <c r="B25" s="3" t="s">
        <v>732</v>
      </c>
      <c r="C25" s="101">
        <v>44149</v>
      </c>
      <c r="D25" s="125">
        <f>120+20.5416/60</f>
        <v>120.34236</v>
      </c>
      <c r="E25" s="103">
        <f>22+18.8845/60</f>
        <v>22.314741666666666</v>
      </c>
      <c r="F25" s="104">
        <v>0.57013888888888886</v>
      </c>
      <c r="G25" s="106">
        <f>120+20.57/60</f>
        <v>120.34283333333333</v>
      </c>
      <c r="H25" s="106">
        <f>22+18.941/60</f>
        <v>22.315683333333332</v>
      </c>
      <c r="I25" s="3">
        <v>116</v>
      </c>
      <c r="J25" s="126">
        <v>0.58263888888888882</v>
      </c>
      <c r="K25" s="109">
        <v>1.6</v>
      </c>
      <c r="L25" s="109">
        <v>600</v>
      </c>
      <c r="M25" s="103">
        <f>120+19.7762/60</f>
        <v>120.32960333333334</v>
      </c>
      <c r="N25" s="103">
        <f>22+17.9166/60</f>
        <v>22.29861</v>
      </c>
      <c r="O25" s="109">
        <v>159</v>
      </c>
      <c r="P25" s="104">
        <v>0.59722222222222221</v>
      </c>
      <c r="Q25" s="114"/>
      <c r="R25" s="115"/>
      <c r="S25" s="114"/>
      <c r="T25" s="109"/>
    </row>
    <row r="26" spans="1:20" s="3" customFormat="1">
      <c r="A26" s="100" t="s">
        <v>731</v>
      </c>
      <c r="B26" s="3" t="s">
        <v>35</v>
      </c>
      <c r="C26" s="101">
        <v>44149</v>
      </c>
      <c r="D26" s="125">
        <f>120+14.6612/60</f>
        <v>120.24435333333334</v>
      </c>
      <c r="E26" s="103">
        <f>22+15.0432/60</f>
        <v>22.250720000000001</v>
      </c>
      <c r="F26" s="104">
        <v>0.7402777777777777</v>
      </c>
      <c r="G26" s="106">
        <f>120+14.798/60</f>
        <v>120.24663333333334</v>
      </c>
      <c r="H26" s="106">
        <f>22+13.6045/60</f>
        <v>22.226741666666666</v>
      </c>
      <c r="I26" s="3">
        <v>763</v>
      </c>
      <c r="J26" s="126">
        <v>0.76041666666666663</v>
      </c>
      <c r="K26" s="109">
        <v>1.5</v>
      </c>
      <c r="L26" s="109">
        <v>1300</v>
      </c>
      <c r="M26" s="103">
        <f>120+14.902/60</f>
        <v>120.24836666666667</v>
      </c>
      <c r="N26" s="103">
        <f>22+13.028/60</f>
        <v>22.217133333333333</v>
      </c>
      <c r="O26" s="109">
        <v>786</v>
      </c>
      <c r="P26" s="104">
        <v>0.78125</v>
      </c>
      <c r="Q26" s="106">
        <f>120+14.7602/60</f>
        <v>120.24600333333333</v>
      </c>
      <c r="R26" s="106">
        <f>22+12.2325/60</f>
        <v>22.203875</v>
      </c>
      <c r="S26" s="126">
        <v>0.80694444444444446</v>
      </c>
      <c r="T26" s="109" t="s">
        <v>733</v>
      </c>
    </row>
    <row r="27" spans="1:20" s="3" customFormat="1">
      <c r="A27" s="100" t="s">
        <v>31</v>
      </c>
      <c r="B27" s="3" t="s">
        <v>41</v>
      </c>
      <c r="C27" s="101">
        <v>44150</v>
      </c>
      <c r="D27" s="125">
        <f>120+59.509/60</f>
        <v>120.99181666666667</v>
      </c>
      <c r="E27" s="103">
        <f>22+18.342/60</f>
        <v>22.305700000000002</v>
      </c>
      <c r="F27" s="104">
        <v>0.58680555555555558</v>
      </c>
      <c r="G27" s="106">
        <f>119+59.823/60</f>
        <v>119.99705</v>
      </c>
      <c r="H27" s="106">
        <f>22+16.108/60</f>
        <v>22.268466666666665</v>
      </c>
      <c r="I27" s="3">
        <v>961</v>
      </c>
      <c r="J27" s="126">
        <v>0.61319444444444449</v>
      </c>
      <c r="K27" s="109">
        <v>1.5</v>
      </c>
      <c r="L27" s="109">
        <v>1708</v>
      </c>
      <c r="M27" s="103">
        <f>119+59.9202/60</f>
        <v>119.99867</v>
      </c>
      <c r="N27" s="103">
        <f>22+15.08/60</f>
        <v>22.251333333333335</v>
      </c>
      <c r="O27" s="109">
        <v>1008</v>
      </c>
      <c r="P27" s="104">
        <v>0.64236111111111105</v>
      </c>
      <c r="Q27" s="106">
        <f>119+59.93/60</f>
        <v>119.99883333333334</v>
      </c>
      <c r="R27" s="106">
        <f>22+13.941/60</f>
        <v>22.23235</v>
      </c>
      <c r="S27" s="126">
        <v>0.67708333333333337</v>
      </c>
      <c r="T27" s="109" t="s">
        <v>734</v>
      </c>
    </row>
    <row r="28" spans="1:20" s="3" customFormat="1">
      <c r="A28" s="100" t="s">
        <v>31</v>
      </c>
      <c r="B28" s="3" t="s">
        <v>51</v>
      </c>
      <c r="C28" s="101">
        <v>44150</v>
      </c>
      <c r="D28" s="125">
        <f>120+2.0853/60</f>
        <v>120.034755</v>
      </c>
      <c r="E28" s="103">
        <f>22+4.2524/60</f>
        <v>22.070873333333335</v>
      </c>
      <c r="F28" s="104">
        <v>0.81458333333333333</v>
      </c>
      <c r="G28" s="106">
        <f>120+2.7084/60</f>
        <v>120.04514</v>
      </c>
      <c r="H28" s="106">
        <f>22+2.0033/60</f>
        <v>22.033388333333335</v>
      </c>
      <c r="I28" s="3">
        <v>1370</v>
      </c>
      <c r="J28" s="126">
        <v>0.87569444444444444</v>
      </c>
      <c r="K28" s="109">
        <v>2</v>
      </c>
      <c r="L28" s="109">
        <v>1850</v>
      </c>
      <c r="M28" s="103">
        <f>120+2.7032/60</f>
        <v>120.04505333333333</v>
      </c>
      <c r="N28" s="103">
        <f>22+2.0252/60</f>
        <v>22.033753333333333</v>
      </c>
      <c r="O28" s="109">
        <v>1406</v>
      </c>
      <c r="P28" s="104">
        <v>0.88888888888888884</v>
      </c>
      <c r="Q28" s="106">
        <f>120+3.15/60</f>
        <v>120.05249999999999</v>
      </c>
      <c r="R28" s="106">
        <f>22+0.2315/60</f>
        <v>22.003858333333334</v>
      </c>
      <c r="S28" s="126">
        <v>0.92013888888888884</v>
      </c>
      <c r="T28" s="109"/>
    </row>
    <row r="29" spans="1:20" s="3" customFormat="1">
      <c r="A29" s="100" t="s">
        <v>735</v>
      </c>
      <c r="B29" s="3" t="s">
        <v>736</v>
      </c>
      <c r="C29" s="101">
        <v>44211</v>
      </c>
      <c r="D29" s="125">
        <v>122.06898333333334</v>
      </c>
      <c r="E29" s="103">
        <v>24.890623333333334</v>
      </c>
      <c r="F29" s="104">
        <v>0.65138888888888891</v>
      </c>
      <c r="G29" s="106">
        <v>122.07566333333334</v>
      </c>
      <c r="H29" s="106">
        <v>24.934645</v>
      </c>
      <c r="I29" s="3">
        <v>227</v>
      </c>
      <c r="J29" s="126">
        <v>0.6645833333333333</v>
      </c>
      <c r="K29" s="109">
        <v>1.7</v>
      </c>
      <c r="L29" s="109">
        <v>703.7</v>
      </c>
      <c r="M29" s="103">
        <v>120.08035666666666</v>
      </c>
      <c r="N29" s="103">
        <v>24.948471666666666</v>
      </c>
      <c r="O29" s="109">
        <v>221</v>
      </c>
      <c r="P29" s="104">
        <v>0.68472222222222223</v>
      </c>
      <c r="Q29" s="106">
        <v>122.08163999999999</v>
      </c>
      <c r="R29" s="106">
        <v>24.961321666666667</v>
      </c>
      <c r="S29" s="126">
        <v>0.7006944444444444</v>
      </c>
      <c r="T29" s="109"/>
    </row>
    <row r="30" spans="1:20" s="3" customFormat="1">
      <c r="A30" s="100" t="s">
        <v>737</v>
      </c>
      <c r="B30" s="3" t="s">
        <v>738</v>
      </c>
      <c r="C30" s="101">
        <v>44211</v>
      </c>
      <c r="D30" s="125">
        <v>122.0123</v>
      </c>
      <c r="E30" s="103">
        <v>24.908166666666666</v>
      </c>
      <c r="F30" s="104">
        <v>0.74097222222222225</v>
      </c>
      <c r="G30" s="106">
        <v>122.02137333333333</v>
      </c>
      <c r="H30" s="106">
        <v>24.914913333333335</v>
      </c>
      <c r="I30" s="3">
        <v>163</v>
      </c>
      <c r="J30" s="126">
        <v>0.75277777777777777</v>
      </c>
      <c r="K30" s="109">
        <v>1.5</v>
      </c>
      <c r="L30" s="109">
        <v>599.1</v>
      </c>
      <c r="M30" s="103">
        <v>122.033</v>
      </c>
      <c r="N30" s="103">
        <v>24.925816666666666</v>
      </c>
      <c r="O30" s="109">
        <v>154</v>
      </c>
      <c r="P30" s="104">
        <v>0.77361111111111114</v>
      </c>
      <c r="Q30" s="106">
        <v>122.04209</v>
      </c>
      <c r="R30" s="106">
        <v>24.93102</v>
      </c>
      <c r="S30" s="126">
        <v>0.78888888888888886</v>
      </c>
      <c r="T30" s="109"/>
    </row>
    <row r="31" spans="1:20" s="3" customFormat="1">
      <c r="A31" s="100" t="s">
        <v>737</v>
      </c>
      <c r="B31" s="3" t="s">
        <v>609</v>
      </c>
      <c r="C31" s="101">
        <v>44212</v>
      </c>
      <c r="D31" s="125">
        <f>122+11.555/60</f>
        <v>122.19258333333333</v>
      </c>
      <c r="E31" s="103">
        <f>24+15.0262/60</f>
        <v>24.250436666666666</v>
      </c>
      <c r="F31" s="104">
        <v>0.4236111111111111</v>
      </c>
      <c r="G31" s="106">
        <f>122+10.5239/60</f>
        <v>122.17539833333333</v>
      </c>
      <c r="H31" s="106">
        <f>24+10.8604/60</f>
        <v>24.181006666666665</v>
      </c>
      <c r="I31" s="3">
        <v>2838</v>
      </c>
      <c r="J31" s="126">
        <v>0.48402777777777778</v>
      </c>
      <c r="K31" s="109">
        <v>1.5</v>
      </c>
      <c r="L31" s="109">
        <v>4202.3999999999996</v>
      </c>
      <c r="M31" s="103">
        <f>122+10.373/60</f>
        <v>122.17288333333333</v>
      </c>
      <c r="N31" s="103">
        <f>24+9.461/60</f>
        <v>24.157683333333335</v>
      </c>
      <c r="O31" s="109">
        <v>2928</v>
      </c>
      <c r="P31" s="104">
        <v>0.52500000000000002</v>
      </c>
      <c r="Q31" s="106">
        <f>122+12.3179/60</f>
        <v>122.20529833333333</v>
      </c>
      <c r="R31" s="106">
        <f>24+7.6648/60</f>
        <v>24.127746666666667</v>
      </c>
      <c r="S31" s="126">
        <v>0.59166666666666667</v>
      </c>
      <c r="T31" s="109"/>
    </row>
    <row r="32" spans="1:20" s="3" customFormat="1">
      <c r="A32" s="100" t="s">
        <v>739</v>
      </c>
      <c r="B32" s="3" t="s">
        <v>590</v>
      </c>
      <c r="C32" s="101">
        <v>44214</v>
      </c>
      <c r="D32" s="125">
        <f>122+0.198/60</f>
        <v>122.0033</v>
      </c>
      <c r="E32" s="103">
        <f>23+57.144/60</f>
        <v>23.952400000000001</v>
      </c>
      <c r="F32" s="104">
        <v>0.60277777777777775</v>
      </c>
      <c r="G32" s="106">
        <f>122+1.8825/60</f>
        <v>122.031375</v>
      </c>
      <c r="H32" s="106">
        <f>24+1.2287/60</f>
        <v>24.020478333333333</v>
      </c>
      <c r="I32" s="3">
        <v>3015</v>
      </c>
      <c r="J32" s="126">
        <v>0.66805555555555562</v>
      </c>
      <c r="K32" s="109">
        <v>1.7</v>
      </c>
      <c r="L32" s="109">
        <v>4002.1</v>
      </c>
      <c r="M32" s="103">
        <f>122+2.503/60</f>
        <v>122.04171666666667</v>
      </c>
      <c r="N32" s="103">
        <f>24+2.903/60</f>
        <v>24.048383333333334</v>
      </c>
      <c r="O32" s="109">
        <v>3169</v>
      </c>
      <c r="P32" s="104">
        <v>0.71111111111111114</v>
      </c>
      <c r="Q32" s="106">
        <f>122+4.3985/60</f>
        <v>122.07330833333333</v>
      </c>
      <c r="R32" s="106">
        <f>24+6.6335/60</f>
        <v>24.110558333333334</v>
      </c>
      <c r="S32" s="126">
        <v>0.79999999999999993</v>
      </c>
      <c r="T32" s="109" t="s">
        <v>740</v>
      </c>
    </row>
    <row r="33" spans="1:20" s="3" customFormat="1">
      <c r="A33" s="100" t="s">
        <v>739</v>
      </c>
      <c r="B33" s="3" t="s">
        <v>614</v>
      </c>
      <c r="C33" s="101">
        <v>44215</v>
      </c>
      <c r="D33" s="125">
        <f>122+9.007/60</f>
        <v>122.15011666666666</v>
      </c>
      <c r="E33" s="103">
        <f>24+1.147/60</f>
        <v>24.019116666666665</v>
      </c>
      <c r="F33" s="104">
        <v>0.16527777777777777</v>
      </c>
      <c r="G33" s="106">
        <f>122+7.27/60</f>
        <v>122.12116666666667</v>
      </c>
      <c r="H33" s="106">
        <f>23+56.2197/60</f>
        <v>23.936995</v>
      </c>
      <c r="I33" s="3">
        <v>3037</v>
      </c>
      <c r="J33" s="127">
        <v>0.26597222222222222</v>
      </c>
      <c r="K33" s="109">
        <v>1.5</v>
      </c>
      <c r="L33" s="109">
        <v>4700</v>
      </c>
      <c r="M33" s="103">
        <f>122+8.54/60</f>
        <v>122.14233333333334</v>
      </c>
      <c r="N33" s="103">
        <f>23+55.719/60</f>
        <v>23.928650000000001</v>
      </c>
      <c r="O33" s="109">
        <v>3066</v>
      </c>
      <c r="P33" s="104">
        <v>0.28125</v>
      </c>
      <c r="Q33" s="106">
        <f>122+6.0944/60</f>
        <v>122.10157333333333</v>
      </c>
      <c r="R33" s="106">
        <f>23+51.6459/60</f>
        <v>23.860765000000001</v>
      </c>
      <c r="S33" s="126">
        <v>0.39166666666666666</v>
      </c>
      <c r="T33" s="109" t="s">
        <v>741</v>
      </c>
    </row>
    <row r="34" spans="1:20" s="3" customFormat="1">
      <c r="A34" s="100" t="s">
        <v>739</v>
      </c>
      <c r="B34" s="3" t="s">
        <v>623</v>
      </c>
      <c r="C34" s="101">
        <v>44215</v>
      </c>
      <c r="D34" s="125">
        <f>122+22.688/60</f>
        <v>122.37813333333334</v>
      </c>
      <c r="E34" s="103">
        <f>23+59.398/60</f>
        <v>23.989966666666668</v>
      </c>
      <c r="F34" s="104">
        <v>0.54999999999999993</v>
      </c>
      <c r="G34" s="106">
        <f>122+21.4259/60</f>
        <v>122.35709833333334</v>
      </c>
      <c r="H34" s="106">
        <f>23+34.2947/60</f>
        <v>23.571578333333335</v>
      </c>
      <c r="I34" s="3">
        <v>3599</v>
      </c>
      <c r="J34" s="128">
        <v>0.63541666666666663</v>
      </c>
      <c r="K34" s="109">
        <v>1.5</v>
      </c>
      <c r="L34" s="109">
        <v>5000</v>
      </c>
      <c r="M34" s="103">
        <f>122+20.7463/60</f>
        <v>122.34577166666666</v>
      </c>
      <c r="N34" s="103">
        <f>23+51.4064/60</f>
        <v>23.856773333333333</v>
      </c>
      <c r="O34" s="109">
        <v>3594</v>
      </c>
      <c r="P34" s="127">
        <v>0.71805555555555556</v>
      </c>
      <c r="Q34" s="106">
        <f>122+19.9613/60</f>
        <v>122.33268833333334</v>
      </c>
      <c r="R34" s="106">
        <f>23+48.9003/60</f>
        <v>23.815004999999999</v>
      </c>
      <c r="S34" s="126">
        <v>0.78333333333333333</v>
      </c>
      <c r="T34" s="109" t="s">
        <v>742</v>
      </c>
    </row>
    <row r="35" spans="1:20" s="129" customFormat="1">
      <c r="A35" s="100" t="s">
        <v>739</v>
      </c>
      <c r="B35" s="3" t="s">
        <v>625</v>
      </c>
      <c r="C35" s="101">
        <v>44221</v>
      </c>
      <c r="D35" s="125">
        <f>119+52.311/60</f>
        <v>119.87184999999999</v>
      </c>
      <c r="E35" s="103">
        <f>21+57.407/60</f>
        <v>21.956783333333334</v>
      </c>
      <c r="F35" s="104">
        <v>0.12361111111111112</v>
      </c>
      <c r="G35" s="106">
        <f>119+51.1261/60</f>
        <v>119.85210166666667</v>
      </c>
      <c r="H35" s="106">
        <f>22+0.1311/60</f>
        <v>22.002185000000001</v>
      </c>
      <c r="I35" s="3">
        <v>1635</v>
      </c>
      <c r="J35" s="128">
        <v>0.16944444444444443</v>
      </c>
      <c r="K35" s="109">
        <v>1.5</v>
      </c>
      <c r="L35" s="109">
        <v>2800.5</v>
      </c>
      <c r="M35" s="103">
        <f>119+50.4907/60</f>
        <v>119.84151166666666</v>
      </c>
      <c r="N35" s="103">
        <f>22+1.656/60</f>
        <v>22.0276</v>
      </c>
      <c r="O35" s="109">
        <v>1642</v>
      </c>
      <c r="P35" s="104">
        <v>0.21111111111111111</v>
      </c>
      <c r="Q35" s="106">
        <f>119+49.593/60</f>
        <v>119.82655</v>
      </c>
      <c r="R35" s="106">
        <f>22+3.896/60</f>
        <v>22.064933333333332</v>
      </c>
      <c r="S35" s="126">
        <v>0.26527777777777778</v>
      </c>
      <c r="T35" s="109"/>
    </row>
    <row r="36" spans="1:20" s="129" customFormat="1">
      <c r="A36" s="100" t="s">
        <v>739</v>
      </c>
      <c r="B36" s="3" t="s">
        <v>581</v>
      </c>
      <c r="C36" s="101">
        <v>44221</v>
      </c>
      <c r="D36" s="125">
        <f>120+0.65/60</f>
        <v>120.01083333333334</v>
      </c>
      <c r="E36" s="103">
        <f>22+15.0113/60</f>
        <v>22.250188333333334</v>
      </c>
      <c r="F36" s="104">
        <v>0.4548611111111111</v>
      </c>
      <c r="G36" s="106">
        <f>119+59.7909/60</f>
        <v>119.996515</v>
      </c>
      <c r="H36" s="106">
        <f>22+16.3089/60</f>
        <v>22.271815</v>
      </c>
      <c r="I36" s="3">
        <v>985</v>
      </c>
      <c r="J36" s="128">
        <v>0.48472222222222222</v>
      </c>
      <c r="K36" s="109">
        <v>1.5</v>
      </c>
      <c r="L36" s="109">
        <v>1802.1</v>
      </c>
      <c r="M36" s="103">
        <f>119+59.723/60</f>
        <v>119.99538333333334</v>
      </c>
      <c r="N36" s="103">
        <f>22+17.492/60</f>
        <v>22.291533333333334</v>
      </c>
      <c r="O36" s="109">
        <v>972</v>
      </c>
      <c r="P36" s="104">
        <v>0.51388888888888895</v>
      </c>
      <c r="Q36" s="106">
        <f>119+59.477/60</f>
        <v>119.99128333333333</v>
      </c>
      <c r="R36" s="106">
        <f>22+19.039/60</f>
        <v>22.317316666666667</v>
      </c>
      <c r="S36" s="126">
        <v>0.55486111111111114</v>
      </c>
      <c r="T36" s="109" t="s">
        <v>743</v>
      </c>
    </row>
    <row r="37" spans="1:20" s="129" customFormat="1" ht="16.5">
      <c r="A37" s="130"/>
      <c r="C37" s="131"/>
      <c r="D37" s="131"/>
    </row>
    <row r="38" spans="1:20" s="129" customFormat="1" ht="16.5">
      <c r="A38" s="132"/>
      <c r="C38" s="131"/>
      <c r="D38" s="131"/>
    </row>
    <row r="39" spans="1:20" s="129" customFormat="1" ht="16.5">
      <c r="A39" s="132"/>
      <c r="C39" s="131"/>
      <c r="D39" s="131"/>
    </row>
    <row r="40" spans="1:20" s="129" customFormat="1" ht="16.5">
      <c r="A40" s="132"/>
      <c r="C40" s="131"/>
      <c r="D40" s="131"/>
    </row>
    <row r="41" spans="1:20" s="129" customFormat="1" ht="16.5">
      <c r="A41" s="132"/>
      <c r="C41" s="131"/>
      <c r="D41" s="131"/>
    </row>
    <row r="42" spans="1:20" s="129" customFormat="1" ht="16.5">
      <c r="A42" s="131"/>
      <c r="C42" s="131"/>
      <c r="D42" s="131"/>
    </row>
    <row r="43" spans="1:20" s="129" customFormat="1" ht="16.5">
      <c r="A43" s="132"/>
      <c r="C43" s="131"/>
      <c r="D43" s="131"/>
    </row>
    <row r="44" spans="1:20" s="129" customFormat="1" ht="16.5">
      <c r="A44" s="132"/>
      <c r="C44" s="131"/>
      <c r="D44" s="131"/>
    </row>
    <row r="45" spans="1:20" s="129" customFormat="1"/>
    <row r="46" spans="1:20" s="129" customFormat="1"/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Fish</vt:lpstr>
      <vt:lpstr>Crustacean</vt:lpstr>
      <vt:lpstr>Mollusca</vt:lpstr>
      <vt:lpstr>Cnidaria</vt:lpstr>
      <vt:lpstr>Echinodermata</vt:lpstr>
      <vt:lpstr>Porifera</vt:lpstr>
      <vt:lpstr>Others</vt:lpstr>
      <vt:lpstr>總紀錄表</vt:lpstr>
      <vt:lpstr>Trawl_Info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2021-01-29T07:56:23Z</dcterms:modified>
</cp:coreProperties>
</file>